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第1輪" sheetId="2" state="visible" r:id="rId2"/>
    <sheet name="第2輪" sheetId="3" state="visible" r:id="rId3"/>
    <sheet name="標準答案" sheetId="4" state="hidden" r:id="rId4"/>
    <sheet name="重複性計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作者本人判定表（一致性分析：人工評估者）</t>
        </is>
      </c>
    </row>
    <row r="2">
      <c r="A2" t="inlineStr">
        <is>
          <t>1. 依 docs/spec/inspection-spec-v1.md（檢驗規範 v1）判定 experiment/samples/ 中的 40 張樣本影像。</t>
        </is>
      </c>
    </row>
    <row r="3">
      <c r="A3" t="inlineStr">
        <is>
          <t>2. 先填「第1輪」，隔天再填「第2輪」（兩輪順序已打亂且不同），第2輪時不要回看第1輪。</t>
        </is>
      </c>
    </row>
    <row r="4">
      <c r="A4" t="inlineStr">
        <is>
          <t>3. 每張樣本一列：缺陷代碼、區域、量測 (µm，5 µm/px)、判定（下拉選 Pass／Warning／Fail）。無缺陷請填「無」並判 Pass。</t>
        </is>
      </c>
    </row>
    <row r="5">
      <c r="A5" t="inlineStr">
        <is>
          <t>4. 「重複性計算」工作表會自動計算本人重複性、對標準答案一致率、漏判率、誤判率、人工複判率。</t>
        </is>
      </c>
    </row>
    <row r="6">
      <c r="A6" t="inlineStr">
        <is>
          <t>5. 「標準答案」工作表已隱藏；兩輪都填完後再取消隱藏（右鍵工作表標籤 → 取消隱藏）。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22" customWidth="1" min="4" max="4"/>
    <col width="14" customWidth="1" min="5" max="5"/>
    <col width="12" customWidth="1" min="6" max="6"/>
    <col width="30" customWidth="1" min="7" max="7"/>
  </cols>
  <sheetData>
    <row r="1">
      <c r="A1" s="2" t="inlineStr">
        <is>
          <t>序</t>
        </is>
      </c>
      <c r="B1" s="2" t="inlineStr">
        <is>
          <t>樣本</t>
        </is>
      </c>
      <c r="C1" s="2" t="inlineStr">
        <is>
          <t>缺陷代碼（無／CHP／CRK／SCR／CON，多個以 ; 分隔）</t>
        </is>
      </c>
      <c r="D1" s="2" t="inlineStr">
        <is>
          <t>區域（core／peripheral）</t>
        </is>
      </c>
      <c r="E1" s="2" t="inlineStr">
        <is>
          <t>量測 (µm)</t>
        </is>
      </c>
      <c r="F1" s="2" t="inlineStr">
        <is>
          <t>判定</t>
        </is>
      </c>
      <c r="G1" s="2" t="inlineStr">
        <is>
          <t>備註</t>
        </is>
      </c>
    </row>
    <row r="2">
      <c r="A2" t="n">
        <v>1</v>
      </c>
      <c r="B2" t="inlineStr">
        <is>
          <t>S19</t>
        </is>
      </c>
      <c r="C2" s="3" t="n"/>
      <c r="D2" s="3" t="n"/>
      <c r="E2" s="3" t="n"/>
      <c r="F2" s="3" t="n"/>
      <c r="G2" s="3" t="n"/>
    </row>
    <row r="3">
      <c r="A3" t="n">
        <v>2</v>
      </c>
      <c r="B3" t="inlineStr">
        <is>
          <t>S08</t>
        </is>
      </c>
      <c r="C3" s="3" t="n"/>
      <c r="D3" s="3" t="n"/>
      <c r="E3" s="3" t="n"/>
      <c r="F3" s="3" t="n"/>
      <c r="G3" s="3" t="n"/>
    </row>
    <row r="4">
      <c r="A4" t="n">
        <v>3</v>
      </c>
      <c r="B4" t="inlineStr">
        <is>
          <t>S24</t>
        </is>
      </c>
      <c r="C4" s="3" t="n"/>
      <c r="D4" s="3" t="n"/>
      <c r="E4" s="3" t="n"/>
      <c r="F4" s="3" t="n"/>
      <c r="G4" s="3" t="n"/>
    </row>
    <row r="5">
      <c r="A5" t="n">
        <v>4</v>
      </c>
      <c r="B5" t="inlineStr">
        <is>
          <t>S17</t>
        </is>
      </c>
      <c r="C5" s="3" t="n"/>
      <c r="D5" s="3" t="n"/>
      <c r="E5" s="3" t="n"/>
      <c r="F5" s="3" t="n"/>
      <c r="G5" s="3" t="n"/>
    </row>
    <row r="6">
      <c r="A6" t="n">
        <v>5</v>
      </c>
      <c r="B6" t="inlineStr">
        <is>
          <t>S23</t>
        </is>
      </c>
      <c r="C6" s="3" t="n"/>
      <c r="D6" s="3" t="n"/>
      <c r="E6" s="3" t="n"/>
      <c r="F6" s="3" t="n"/>
      <c r="G6" s="3" t="n"/>
    </row>
    <row r="7">
      <c r="A7" t="n">
        <v>6</v>
      </c>
      <c r="B7" t="inlineStr">
        <is>
          <t>S22</t>
        </is>
      </c>
      <c r="C7" s="3" t="n"/>
      <c r="D7" s="3" t="n"/>
      <c r="E7" s="3" t="n"/>
      <c r="F7" s="3" t="n"/>
      <c r="G7" s="3" t="n"/>
    </row>
    <row r="8">
      <c r="A8" t="n">
        <v>7</v>
      </c>
      <c r="B8" t="inlineStr">
        <is>
          <t>S07</t>
        </is>
      </c>
      <c r="C8" s="3" t="n"/>
      <c r="D8" s="3" t="n"/>
      <c r="E8" s="3" t="n"/>
      <c r="F8" s="3" t="n"/>
      <c r="G8" s="3" t="n"/>
    </row>
    <row r="9">
      <c r="A9" t="n">
        <v>8</v>
      </c>
      <c r="B9" t="inlineStr">
        <is>
          <t>S11</t>
        </is>
      </c>
      <c r="C9" s="3" t="n"/>
      <c r="D9" s="3" t="n"/>
      <c r="E9" s="3" t="n"/>
      <c r="F9" s="3" t="n"/>
      <c r="G9" s="3" t="n"/>
    </row>
    <row r="10">
      <c r="A10" t="n">
        <v>9</v>
      </c>
      <c r="B10" t="inlineStr">
        <is>
          <t>S25</t>
        </is>
      </c>
      <c r="C10" s="3" t="n"/>
      <c r="D10" s="3" t="n"/>
      <c r="E10" s="3" t="n"/>
      <c r="F10" s="3" t="n"/>
      <c r="G10" s="3" t="n"/>
    </row>
    <row r="11">
      <c r="A11" t="n">
        <v>10</v>
      </c>
      <c r="B11" t="inlineStr">
        <is>
          <t>S27</t>
        </is>
      </c>
      <c r="C11" s="3" t="n"/>
      <c r="D11" s="3" t="n"/>
      <c r="E11" s="3" t="n"/>
      <c r="F11" s="3" t="n"/>
      <c r="G11" s="3" t="n"/>
    </row>
    <row r="12">
      <c r="A12" t="n">
        <v>11</v>
      </c>
      <c r="B12" t="inlineStr">
        <is>
          <t>S34</t>
        </is>
      </c>
      <c r="C12" s="3" t="n"/>
      <c r="D12" s="3" t="n"/>
      <c r="E12" s="3" t="n"/>
      <c r="F12" s="3" t="n"/>
      <c r="G12" s="3" t="n"/>
    </row>
    <row r="13">
      <c r="A13" t="n">
        <v>12</v>
      </c>
      <c r="B13" t="inlineStr">
        <is>
          <t>S16</t>
        </is>
      </c>
      <c r="C13" s="3" t="n"/>
      <c r="D13" s="3" t="n"/>
      <c r="E13" s="3" t="n"/>
      <c r="F13" s="3" t="n"/>
      <c r="G13" s="3" t="n"/>
    </row>
    <row r="14">
      <c r="A14" t="n">
        <v>13</v>
      </c>
      <c r="B14" t="inlineStr">
        <is>
          <t>S38</t>
        </is>
      </c>
      <c r="C14" s="3" t="n"/>
      <c r="D14" s="3" t="n"/>
      <c r="E14" s="3" t="n"/>
      <c r="F14" s="3" t="n"/>
      <c r="G14" s="3" t="n"/>
    </row>
    <row r="15">
      <c r="A15" t="n">
        <v>14</v>
      </c>
      <c r="B15" t="inlineStr">
        <is>
          <t>S09</t>
        </is>
      </c>
      <c r="C15" s="3" t="n"/>
      <c r="D15" s="3" t="n"/>
      <c r="E15" s="3" t="n"/>
      <c r="F15" s="3" t="n"/>
      <c r="G15" s="3" t="n"/>
    </row>
    <row r="16">
      <c r="A16" t="n">
        <v>15</v>
      </c>
      <c r="B16" t="inlineStr">
        <is>
          <t>S14</t>
        </is>
      </c>
      <c r="C16" s="3" t="n"/>
      <c r="D16" s="3" t="n"/>
      <c r="E16" s="3" t="n"/>
      <c r="F16" s="3" t="n"/>
      <c r="G16" s="3" t="n"/>
    </row>
    <row r="17">
      <c r="A17" t="n">
        <v>16</v>
      </c>
      <c r="B17" t="inlineStr">
        <is>
          <t>S01</t>
        </is>
      </c>
      <c r="C17" s="3" t="n"/>
      <c r="D17" s="3" t="n"/>
      <c r="E17" s="3" t="n"/>
      <c r="F17" s="3" t="n"/>
      <c r="G17" s="3" t="n"/>
    </row>
    <row r="18">
      <c r="A18" t="n">
        <v>17</v>
      </c>
      <c r="B18" t="inlineStr">
        <is>
          <t>S28</t>
        </is>
      </c>
      <c r="C18" s="3" t="n"/>
      <c r="D18" s="3" t="n"/>
      <c r="E18" s="3" t="n"/>
      <c r="F18" s="3" t="n"/>
      <c r="G18" s="3" t="n"/>
    </row>
    <row r="19">
      <c r="A19" t="n">
        <v>18</v>
      </c>
      <c r="B19" t="inlineStr">
        <is>
          <t>S37</t>
        </is>
      </c>
      <c r="C19" s="3" t="n"/>
      <c r="D19" s="3" t="n"/>
      <c r="E19" s="3" t="n"/>
      <c r="F19" s="3" t="n"/>
      <c r="G19" s="3" t="n"/>
    </row>
    <row r="20">
      <c r="A20" t="n">
        <v>19</v>
      </c>
      <c r="B20" t="inlineStr">
        <is>
          <t>S35</t>
        </is>
      </c>
      <c r="C20" s="3" t="n"/>
      <c r="D20" s="3" t="n"/>
      <c r="E20" s="3" t="n"/>
      <c r="F20" s="3" t="n"/>
      <c r="G20" s="3" t="n"/>
    </row>
    <row r="21">
      <c r="A21" t="n">
        <v>20</v>
      </c>
      <c r="B21" t="inlineStr">
        <is>
          <t>S02</t>
        </is>
      </c>
      <c r="C21" s="3" t="n"/>
      <c r="D21" s="3" t="n"/>
      <c r="E21" s="3" t="n"/>
      <c r="F21" s="3" t="n"/>
      <c r="G21" s="3" t="n"/>
    </row>
    <row r="22">
      <c r="A22" t="n">
        <v>21</v>
      </c>
      <c r="B22" t="inlineStr">
        <is>
          <t>S32</t>
        </is>
      </c>
      <c r="C22" s="3" t="n"/>
      <c r="D22" s="3" t="n"/>
      <c r="E22" s="3" t="n"/>
      <c r="F22" s="3" t="n"/>
      <c r="G22" s="3" t="n"/>
    </row>
    <row r="23">
      <c r="A23" t="n">
        <v>22</v>
      </c>
      <c r="B23" t="inlineStr">
        <is>
          <t>S18</t>
        </is>
      </c>
      <c r="C23" s="3" t="n"/>
      <c r="D23" s="3" t="n"/>
      <c r="E23" s="3" t="n"/>
      <c r="F23" s="3" t="n"/>
      <c r="G23" s="3" t="n"/>
    </row>
    <row r="24">
      <c r="A24" t="n">
        <v>23</v>
      </c>
      <c r="B24" t="inlineStr">
        <is>
          <t>S03</t>
        </is>
      </c>
      <c r="C24" s="3" t="n"/>
      <c r="D24" s="3" t="n"/>
      <c r="E24" s="3" t="n"/>
      <c r="F24" s="3" t="n"/>
      <c r="G24" s="3" t="n"/>
    </row>
    <row r="25">
      <c r="A25" t="n">
        <v>24</v>
      </c>
      <c r="B25" t="inlineStr">
        <is>
          <t>S05</t>
        </is>
      </c>
      <c r="C25" s="3" t="n"/>
      <c r="D25" s="3" t="n"/>
      <c r="E25" s="3" t="n"/>
      <c r="F25" s="3" t="n"/>
      <c r="G25" s="3" t="n"/>
    </row>
    <row r="26">
      <c r="A26" t="n">
        <v>25</v>
      </c>
      <c r="B26" t="inlineStr">
        <is>
          <t>S10</t>
        </is>
      </c>
      <c r="C26" s="3" t="n"/>
      <c r="D26" s="3" t="n"/>
      <c r="E26" s="3" t="n"/>
      <c r="F26" s="3" t="n"/>
      <c r="G26" s="3" t="n"/>
    </row>
    <row r="27">
      <c r="A27" t="n">
        <v>26</v>
      </c>
      <c r="B27" t="inlineStr">
        <is>
          <t>S15</t>
        </is>
      </c>
      <c r="C27" s="3" t="n"/>
      <c r="D27" s="3" t="n"/>
      <c r="E27" s="3" t="n"/>
      <c r="F27" s="3" t="n"/>
      <c r="G27" s="3" t="n"/>
    </row>
    <row r="28">
      <c r="A28" t="n">
        <v>27</v>
      </c>
      <c r="B28" t="inlineStr">
        <is>
          <t>S04</t>
        </is>
      </c>
      <c r="C28" s="3" t="n"/>
      <c r="D28" s="3" t="n"/>
      <c r="E28" s="3" t="n"/>
      <c r="F28" s="3" t="n"/>
      <c r="G28" s="3" t="n"/>
    </row>
    <row r="29">
      <c r="A29" t="n">
        <v>28</v>
      </c>
      <c r="B29" t="inlineStr">
        <is>
          <t>S06</t>
        </is>
      </c>
      <c r="C29" s="3" t="n"/>
      <c r="D29" s="3" t="n"/>
      <c r="E29" s="3" t="n"/>
      <c r="F29" s="3" t="n"/>
      <c r="G29" s="3" t="n"/>
    </row>
    <row r="30">
      <c r="A30" t="n">
        <v>29</v>
      </c>
      <c r="B30" t="inlineStr">
        <is>
          <t>S26</t>
        </is>
      </c>
      <c r="C30" s="3" t="n"/>
      <c r="D30" s="3" t="n"/>
      <c r="E30" s="3" t="n"/>
      <c r="F30" s="3" t="n"/>
      <c r="G30" s="3" t="n"/>
    </row>
    <row r="31">
      <c r="A31" t="n">
        <v>30</v>
      </c>
      <c r="B31" t="inlineStr">
        <is>
          <t>S20</t>
        </is>
      </c>
      <c r="C31" s="3" t="n"/>
      <c r="D31" s="3" t="n"/>
      <c r="E31" s="3" t="n"/>
      <c r="F31" s="3" t="n"/>
      <c r="G31" s="3" t="n"/>
    </row>
    <row r="32">
      <c r="A32" t="n">
        <v>31</v>
      </c>
      <c r="B32" t="inlineStr">
        <is>
          <t>S21</t>
        </is>
      </c>
      <c r="C32" s="3" t="n"/>
      <c r="D32" s="3" t="n"/>
      <c r="E32" s="3" t="n"/>
      <c r="F32" s="3" t="n"/>
      <c r="G32" s="3" t="n"/>
    </row>
    <row r="33">
      <c r="A33" t="n">
        <v>32</v>
      </c>
      <c r="B33" t="inlineStr">
        <is>
          <t>S31</t>
        </is>
      </c>
      <c r="C33" s="3" t="n"/>
      <c r="D33" s="3" t="n"/>
      <c r="E33" s="3" t="n"/>
      <c r="F33" s="3" t="n"/>
      <c r="G33" s="3" t="n"/>
    </row>
    <row r="34">
      <c r="A34" t="n">
        <v>33</v>
      </c>
      <c r="B34" t="inlineStr">
        <is>
          <t>S39</t>
        </is>
      </c>
      <c r="C34" s="3" t="n"/>
      <c r="D34" s="3" t="n"/>
      <c r="E34" s="3" t="n"/>
      <c r="F34" s="3" t="n"/>
      <c r="G34" s="3" t="n"/>
    </row>
    <row r="35">
      <c r="A35" t="n">
        <v>34</v>
      </c>
      <c r="B35" t="inlineStr">
        <is>
          <t>S12</t>
        </is>
      </c>
      <c r="C35" s="3" t="n"/>
      <c r="D35" s="3" t="n"/>
      <c r="E35" s="3" t="n"/>
      <c r="F35" s="3" t="n"/>
      <c r="G35" s="3" t="n"/>
    </row>
    <row r="36">
      <c r="A36" t="n">
        <v>35</v>
      </c>
      <c r="B36" t="inlineStr">
        <is>
          <t>S13</t>
        </is>
      </c>
      <c r="C36" s="3" t="n"/>
      <c r="D36" s="3" t="n"/>
      <c r="E36" s="3" t="n"/>
      <c r="F36" s="3" t="n"/>
      <c r="G36" s="3" t="n"/>
    </row>
    <row r="37">
      <c r="A37" t="n">
        <v>36</v>
      </c>
      <c r="B37" t="inlineStr">
        <is>
          <t>S33</t>
        </is>
      </c>
      <c r="C37" s="3" t="n"/>
      <c r="D37" s="3" t="n"/>
      <c r="E37" s="3" t="n"/>
      <c r="F37" s="3" t="n"/>
      <c r="G37" s="3" t="n"/>
    </row>
    <row r="38">
      <c r="A38" t="n">
        <v>37</v>
      </c>
      <c r="B38" t="inlineStr">
        <is>
          <t>S40</t>
        </is>
      </c>
      <c r="C38" s="3" t="n"/>
      <c r="D38" s="3" t="n"/>
      <c r="E38" s="3" t="n"/>
      <c r="F38" s="3" t="n"/>
      <c r="G38" s="3" t="n"/>
    </row>
    <row r="39">
      <c r="A39" t="n">
        <v>38</v>
      </c>
      <c r="B39" t="inlineStr">
        <is>
          <t>S30</t>
        </is>
      </c>
      <c r="C39" s="3" t="n"/>
      <c r="D39" s="3" t="n"/>
      <c r="E39" s="3" t="n"/>
      <c r="F39" s="3" t="n"/>
      <c r="G39" s="3" t="n"/>
    </row>
    <row r="40">
      <c r="A40" t="n">
        <v>39</v>
      </c>
      <c r="B40" t="inlineStr">
        <is>
          <t>S36</t>
        </is>
      </c>
      <c r="C40" s="3" t="n"/>
      <c r="D40" s="3" t="n"/>
      <c r="E40" s="3" t="n"/>
      <c r="F40" s="3" t="n"/>
      <c r="G40" s="3" t="n"/>
    </row>
    <row r="41">
      <c r="A41" t="n">
        <v>40</v>
      </c>
      <c r="B41" t="inlineStr">
        <is>
          <t>S29</t>
        </is>
      </c>
      <c r="C41" s="3" t="n"/>
      <c r="D41" s="3" t="n"/>
      <c r="E41" s="3" t="n"/>
      <c r="F41" s="3" t="n"/>
      <c r="G41" s="3" t="n"/>
    </row>
  </sheetData>
  <dataValidations count="2">
    <dataValidation sqref="F2:F41" showDropDown="0" showInputMessage="0" showErrorMessage="0" allowBlank="1" type="list">
      <formula1>"Pass,Warning,Fail"</formula1>
    </dataValidation>
    <dataValidation sqref="D2:D41" showDropDown="0" showInputMessage="0" showErrorMessage="0" allowBlank="1" type="list">
      <formula1>"core,peripheral,core;peripheral"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22" customWidth="1" min="4" max="4"/>
    <col width="14" customWidth="1" min="5" max="5"/>
    <col width="12" customWidth="1" min="6" max="6"/>
    <col width="30" customWidth="1" min="7" max="7"/>
  </cols>
  <sheetData>
    <row r="1">
      <c r="A1" s="2" t="inlineStr">
        <is>
          <t>序</t>
        </is>
      </c>
      <c r="B1" s="2" t="inlineStr">
        <is>
          <t>樣本</t>
        </is>
      </c>
      <c r="C1" s="2" t="inlineStr">
        <is>
          <t>缺陷代碼（無／CHP／CRK／SCR／CON，多個以 ; 分隔）</t>
        </is>
      </c>
      <c r="D1" s="2" t="inlineStr">
        <is>
          <t>區域（core／peripheral）</t>
        </is>
      </c>
      <c r="E1" s="2" t="inlineStr">
        <is>
          <t>量測 (µm)</t>
        </is>
      </c>
      <c r="F1" s="2" t="inlineStr">
        <is>
          <t>判定</t>
        </is>
      </c>
      <c r="G1" s="2" t="inlineStr">
        <is>
          <t>備註</t>
        </is>
      </c>
    </row>
    <row r="2">
      <c r="A2" t="n">
        <v>1</v>
      </c>
      <c r="B2" t="inlineStr">
        <is>
          <t>S37</t>
        </is>
      </c>
      <c r="C2" s="3" t="n"/>
      <c r="D2" s="3" t="n"/>
      <c r="E2" s="3" t="n"/>
      <c r="F2" s="3" t="n"/>
      <c r="G2" s="3" t="n"/>
    </row>
    <row r="3">
      <c r="A3" t="n">
        <v>2</v>
      </c>
      <c r="B3" t="inlineStr">
        <is>
          <t>S07</t>
        </is>
      </c>
      <c r="C3" s="3" t="n"/>
      <c r="D3" s="3" t="n"/>
      <c r="E3" s="3" t="n"/>
      <c r="F3" s="3" t="n"/>
      <c r="G3" s="3" t="n"/>
    </row>
    <row r="4">
      <c r="A4" t="n">
        <v>3</v>
      </c>
      <c r="B4" t="inlineStr">
        <is>
          <t>S32</t>
        </is>
      </c>
      <c r="C4" s="3" t="n"/>
      <c r="D4" s="3" t="n"/>
      <c r="E4" s="3" t="n"/>
      <c r="F4" s="3" t="n"/>
      <c r="G4" s="3" t="n"/>
    </row>
    <row r="5">
      <c r="A5" t="n">
        <v>4</v>
      </c>
      <c r="B5" t="inlineStr">
        <is>
          <t>S13</t>
        </is>
      </c>
      <c r="C5" s="3" t="n"/>
      <c r="D5" s="3" t="n"/>
      <c r="E5" s="3" t="n"/>
      <c r="F5" s="3" t="n"/>
      <c r="G5" s="3" t="n"/>
    </row>
    <row r="6">
      <c r="A6" t="n">
        <v>5</v>
      </c>
      <c r="B6" t="inlineStr">
        <is>
          <t>S35</t>
        </is>
      </c>
      <c r="C6" s="3" t="n"/>
      <c r="D6" s="3" t="n"/>
      <c r="E6" s="3" t="n"/>
      <c r="F6" s="3" t="n"/>
      <c r="G6" s="3" t="n"/>
    </row>
    <row r="7">
      <c r="A7" t="n">
        <v>6</v>
      </c>
      <c r="B7" t="inlineStr">
        <is>
          <t>S39</t>
        </is>
      </c>
      <c r="C7" s="3" t="n"/>
      <c r="D7" s="3" t="n"/>
      <c r="E7" s="3" t="n"/>
      <c r="F7" s="3" t="n"/>
      <c r="G7" s="3" t="n"/>
    </row>
    <row r="8">
      <c r="A8" t="n">
        <v>7</v>
      </c>
      <c r="B8" t="inlineStr">
        <is>
          <t>S05</t>
        </is>
      </c>
      <c r="C8" s="3" t="n"/>
      <c r="D8" s="3" t="n"/>
      <c r="E8" s="3" t="n"/>
      <c r="F8" s="3" t="n"/>
      <c r="G8" s="3" t="n"/>
    </row>
    <row r="9">
      <c r="A9" t="n">
        <v>8</v>
      </c>
      <c r="B9" t="inlineStr">
        <is>
          <t>S27</t>
        </is>
      </c>
      <c r="C9" s="3" t="n"/>
      <c r="D9" s="3" t="n"/>
      <c r="E9" s="3" t="n"/>
      <c r="F9" s="3" t="n"/>
      <c r="G9" s="3" t="n"/>
    </row>
    <row r="10">
      <c r="A10" t="n">
        <v>9</v>
      </c>
      <c r="B10" t="inlineStr">
        <is>
          <t>S28</t>
        </is>
      </c>
      <c r="C10" s="3" t="n"/>
      <c r="D10" s="3" t="n"/>
      <c r="E10" s="3" t="n"/>
      <c r="F10" s="3" t="n"/>
      <c r="G10" s="3" t="n"/>
    </row>
    <row r="11">
      <c r="A11" t="n">
        <v>10</v>
      </c>
      <c r="B11" t="inlineStr">
        <is>
          <t>S36</t>
        </is>
      </c>
      <c r="C11" s="3" t="n"/>
      <c r="D11" s="3" t="n"/>
      <c r="E11" s="3" t="n"/>
      <c r="F11" s="3" t="n"/>
      <c r="G11" s="3" t="n"/>
    </row>
    <row r="12">
      <c r="A12" t="n">
        <v>11</v>
      </c>
      <c r="B12" t="inlineStr">
        <is>
          <t>S26</t>
        </is>
      </c>
      <c r="C12" s="3" t="n"/>
      <c r="D12" s="3" t="n"/>
      <c r="E12" s="3" t="n"/>
      <c r="F12" s="3" t="n"/>
      <c r="G12" s="3" t="n"/>
    </row>
    <row r="13">
      <c r="A13" t="n">
        <v>12</v>
      </c>
      <c r="B13" t="inlineStr">
        <is>
          <t>S17</t>
        </is>
      </c>
      <c r="C13" s="3" t="n"/>
      <c r="D13" s="3" t="n"/>
      <c r="E13" s="3" t="n"/>
      <c r="F13" s="3" t="n"/>
      <c r="G13" s="3" t="n"/>
    </row>
    <row r="14">
      <c r="A14" t="n">
        <v>13</v>
      </c>
      <c r="B14" t="inlineStr">
        <is>
          <t>S25</t>
        </is>
      </c>
      <c r="C14" s="3" t="n"/>
      <c r="D14" s="3" t="n"/>
      <c r="E14" s="3" t="n"/>
      <c r="F14" s="3" t="n"/>
      <c r="G14" s="3" t="n"/>
    </row>
    <row r="15">
      <c r="A15" t="n">
        <v>14</v>
      </c>
      <c r="B15" t="inlineStr">
        <is>
          <t>S03</t>
        </is>
      </c>
      <c r="C15" s="3" t="n"/>
      <c r="D15" s="3" t="n"/>
      <c r="E15" s="3" t="n"/>
      <c r="F15" s="3" t="n"/>
      <c r="G15" s="3" t="n"/>
    </row>
    <row r="16">
      <c r="A16" t="n">
        <v>15</v>
      </c>
      <c r="B16" t="inlineStr">
        <is>
          <t>S04</t>
        </is>
      </c>
      <c r="C16" s="3" t="n"/>
      <c r="D16" s="3" t="n"/>
      <c r="E16" s="3" t="n"/>
      <c r="F16" s="3" t="n"/>
      <c r="G16" s="3" t="n"/>
    </row>
    <row r="17">
      <c r="A17" t="n">
        <v>16</v>
      </c>
      <c r="B17" t="inlineStr">
        <is>
          <t>S34</t>
        </is>
      </c>
      <c r="C17" s="3" t="n"/>
      <c r="D17" s="3" t="n"/>
      <c r="E17" s="3" t="n"/>
      <c r="F17" s="3" t="n"/>
      <c r="G17" s="3" t="n"/>
    </row>
    <row r="18">
      <c r="A18" t="n">
        <v>17</v>
      </c>
      <c r="B18" t="inlineStr">
        <is>
          <t>S10</t>
        </is>
      </c>
      <c r="C18" s="3" t="n"/>
      <c r="D18" s="3" t="n"/>
      <c r="E18" s="3" t="n"/>
      <c r="F18" s="3" t="n"/>
      <c r="G18" s="3" t="n"/>
    </row>
    <row r="19">
      <c r="A19" t="n">
        <v>18</v>
      </c>
      <c r="B19" t="inlineStr">
        <is>
          <t>S31</t>
        </is>
      </c>
      <c r="C19" s="3" t="n"/>
      <c r="D19" s="3" t="n"/>
      <c r="E19" s="3" t="n"/>
      <c r="F19" s="3" t="n"/>
      <c r="G19" s="3" t="n"/>
    </row>
    <row r="20">
      <c r="A20" t="n">
        <v>19</v>
      </c>
      <c r="B20" t="inlineStr">
        <is>
          <t>S21</t>
        </is>
      </c>
      <c r="C20" s="3" t="n"/>
      <c r="D20" s="3" t="n"/>
      <c r="E20" s="3" t="n"/>
      <c r="F20" s="3" t="n"/>
      <c r="G20" s="3" t="n"/>
    </row>
    <row r="21">
      <c r="A21" t="n">
        <v>20</v>
      </c>
      <c r="B21" t="inlineStr">
        <is>
          <t>S01</t>
        </is>
      </c>
      <c r="C21" s="3" t="n"/>
      <c r="D21" s="3" t="n"/>
      <c r="E21" s="3" t="n"/>
      <c r="F21" s="3" t="n"/>
      <c r="G21" s="3" t="n"/>
    </row>
    <row r="22">
      <c r="A22" t="n">
        <v>21</v>
      </c>
      <c r="B22" t="inlineStr">
        <is>
          <t>S19</t>
        </is>
      </c>
      <c r="C22" s="3" t="n"/>
      <c r="D22" s="3" t="n"/>
      <c r="E22" s="3" t="n"/>
      <c r="F22" s="3" t="n"/>
      <c r="G22" s="3" t="n"/>
    </row>
    <row r="23">
      <c r="A23" t="n">
        <v>22</v>
      </c>
      <c r="B23" t="inlineStr">
        <is>
          <t>S30</t>
        </is>
      </c>
      <c r="C23" s="3" t="n"/>
      <c r="D23" s="3" t="n"/>
      <c r="E23" s="3" t="n"/>
      <c r="F23" s="3" t="n"/>
      <c r="G23" s="3" t="n"/>
    </row>
    <row r="24">
      <c r="A24" t="n">
        <v>23</v>
      </c>
      <c r="B24" t="inlineStr">
        <is>
          <t>S14</t>
        </is>
      </c>
      <c r="C24" s="3" t="n"/>
      <c r="D24" s="3" t="n"/>
      <c r="E24" s="3" t="n"/>
      <c r="F24" s="3" t="n"/>
      <c r="G24" s="3" t="n"/>
    </row>
    <row r="25">
      <c r="A25" t="n">
        <v>24</v>
      </c>
      <c r="B25" t="inlineStr">
        <is>
          <t>S24</t>
        </is>
      </c>
      <c r="C25" s="3" t="n"/>
      <c r="D25" s="3" t="n"/>
      <c r="E25" s="3" t="n"/>
      <c r="F25" s="3" t="n"/>
      <c r="G25" s="3" t="n"/>
    </row>
    <row r="26">
      <c r="A26" t="n">
        <v>25</v>
      </c>
      <c r="B26" t="inlineStr">
        <is>
          <t>S22</t>
        </is>
      </c>
      <c r="C26" s="3" t="n"/>
      <c r="D26" s="3" t="n"/>
      <c r="E26" s="3" t="n"/>
      <c r="F26" s="3" t="n"/>
      <c r="G26" s="3" t="n"/>
    </row>
    <row r="27">
      <c r="A27" t="n">
        <v>26</v>
      </c>
      <c r="B27" t="inlineStr">
        <is>
          <t>S18</t>
        </is>
      </c>
      <c r="C27" s="3" t="n"/>
      <c r="D27" s="3" t="n"/>
      <c r="E27" s="3" t="n"/>
      <c r="F27" s="3" t="n"/>
      <c r="G27" s="3" t="n"/>
    </row>
    <row r="28">
      <c r="A28" t="n">
        <v>27</v>
      </c>
      <c r="B28" t="inlineStr">
        <is>
          <t>S33</t>
        </is>
      </c>
      <c r="C28" s="3" t="n"/>
      <c r="D28" s="3" t="n"/>
      <c r="E28" s="3" t="n"/>
      <c r="F28" s="3" t="n"/>
      <c r="G28" s="3" t="n"/>
    </row>
    <row r="29">
      <c r="A29" t="n">
        <v>28</v>
      </c>
      <c r="B29" t="inlineStr">
        <is>
          <t>S20</t>
        </is>
      </c>
      <c r="C29" s="3" t="n"/>
      <c r="D29" s="3" t="n"/>
      <c r="E29" s="3" t="n"/>
      <c r="F29" s="3" t="n"/>
      <c r="G29" s="3" t="n"/>
    </row>
    <row r="30">
      <c r="A30" t="n">
        <v>29</v>
      </c>
      <c r="B30" t="inlineStr">
        <is>
          <t>S11</t>
        </is>
      </c>
      <c r="C30" s="3" t="n"/>
      <c r="D30" s="3" t="n"/>
      <c r="E30" s="3" t="n"/>
      <c r="F30" s="3" t="n"/>
      <c r="G30" s="3" t="n"/>
    </row>
    <row r="31">
      <c r="A31" t="n">
        <v>30</v>
      </c>
      <c r="B31" t="inlineStr">
        <is>
          <t>S38</t>
        </is>
      </c>
      <c r="C31" s="3" t="n"/>
      <c r="D31" s="3" t="n"/>
      <c r="E31" s="3" t="n"/>
      <c r="F31" s="3" t="n"/>
      <c r="G31" s="3" t="n"/>
    </row>
    <row r="32">
      <c r="A32" t="n">
        <v>31</v>
      </c>
      <c r="B32" t="inlineStr">
        <is>
          <t>S40</t>
        </is>
      </c>
      <c r="C32" s="3" t="n"/>
      <c r="D32" s="3" t="n"/>
      <c r="E32" s="3" t="n"/>
      <c r="F32" s="3" t="n"/>
      <c r="G32" s="3" t="n"/>
    </row>
    <row r="33">
      <c r="A33" t="n">
        <v>32</v>
      </c>
      <c r="B33" t="inlineStr">
        <is>
          <t>S15</t>
        </is>
      </c>
      <c r="C33" s="3" t="n"/>
      <c r="D33" s="3" t="n"/>
      <c r="E33" s="3" t="n"/>
      <c r="F33" s="3" t="n"/>
      <c r="G33" s="3" t="n"/>
    </row>
    <row r="34">
      <c r="A34" t="n">
        <v>33</v>
      </c>
      <c r="B34" t="inlineStr">
        <is>
          <t>S06</t>
        </is>
      </c>
      <c r="C34" s="3" t="n"/>
      <c r="D34" s="3" t="n"/>
      <c r="E34" s="3" t="n"/>
      <c r="F34" s="3" t="n"/>
      <c r="G34" s="3" t="n"/>
    </row>
    <row r="35">
      <c r="A35" t="n">
        <v>34</v>
      </c>
      <c r="B35" t="inlineStr">
        <is>
          <t>S23</t>
        </is>
      </c>
      <c r="C35" s="3" t="n"/>
      <c r="D35" s="3" t="n"/>
      <c r="E35" s="3" t="n"/>
      <c r="F35" s="3" t="n"/>
      <c r="G35" s="3" t="n"/>
    </row>
    <row r="36">
      <c r="A36" t="n">
        <v>35</v>
      </c>
      <c r="B36" t="inlineStr">
        <is>
          <t>S08</t>
        </is>
      </c>
      <c r="C36" s="3" t="n"/>
      <c r="D36" s="3" t="n"/>
      <c r="E36" s="3" t="n"/>
      <c r="F36" s="3" t="n"/>
      <c r="G36" s="3" t="n"/>
    </row>
    <row r="37">
      <c r="A37" t="n">
        <v>36</v>
      </c>
      <c r="B37" t="inlineStr">
        <is>
          <t>S12</t>
        </is>
      </c>
      <c r="C37" s="3" t="n"/>
      <c r="D37" s="3" t="n"/>
      <c r="E37" s="3" t="n"/>
      <c r="F37" s="3" t="n"/>
      <c r="G37" s="3" t="n"/>
    </row>
    <row r="38">
      <c r="A38" t="n">
        <v>37</v>
      </c>
      <c r="B38" t="inlineStr">
        <is>
          <t>S29</t>
        </is>
      </c>
      <c r="C38" s="3" t="n"/>
      <c r="D38" s="3" t="n"/>
      <c r="E38" s="3" t="n"/>
      <c r="F38" s="3" t="n"/>
      <c r="G38" s="3" t="n"/>
    </row>
    <row r="39">
      <c r="A39" t="n">
        <v>38</v>
      </c>
      <c r="B39" t="inlineStr">
        <is>
          <t>S02</t>
        </is>
      </c>
      <c r="C39" s="3" t="n"/>
      <c r="D39" s="3" t="n"/>
      <c r="E39" s="3" t="n"/>
      <c r="F39" s="3" t="n"/>
      <c r="G39" s="3" t="n"/>
    </row>
    <row r="40">
      <c r="A40" t="n">
        <v>39</v>
      </c>
      <c r="B40" t="inlineStr">
        <is>
          <t>S16</t>
        </is>
      </c>
      <c r="C40" s="3" t="n"/>
      <c r="D40" s="3" t="n"/>
      <c r="E40" s="3" t="n"/>
      <c r="F40" s="3" t="n"/>
      <c r="G40" s="3" t="n"/>
    </row>
    <row r="41">
      <c r="A41" t="n">
        <v>40</v>
      </c>
      <c r="B41" t="inlineStr">
        <is>
          <t>S09</t>
        </is>
      </c>
      <c r="C41" s="3" t="n"/>
      <c r="D41" s="3" t="n"/>
      <c r="E41" s="3" t="n"/>
      <c r="F41" s="3" t="n"/>
      <c r="G41" s="3" t="n"/>
    </row>
  </sheetData>
  <dataValidations count="2">
    <dataValidation sqref="F2:F41" showDropDown="0" showInputMessage="0" showErrorMessage="0" allowBlank="1" type="list">
      <formula1>"Pass,Warning,Fail"</formula1>
    </dataValidation>
    <dataValidation sqref="D2:D41" showDropDown="0" showInputMessage="0" showErrorMessage="0" allowBlank="1" type="list">
      <formula1>"core,peripheral,core;peripheral"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70" customWidth="1" min="3" max="3"/>
  </cols>
  <sheetData>
    <row r="1">
      <c r="A1" t="inlineStr">
        <is>
          <t>樣本</t>
        </is>
      </c>
      <c r="B1" t="inlineStr">
        <is>
          <t>標準答案判定</t>
        </is>
      </c>
      <c r="C1" t="inlineStr">
        <is>
          <t>標準答案缺陷</t>
        </is>
      </c>
    </row>
    <row r="2">
      <c r="A2" t="inlineStr">
        <is>
          <t>S01</t>
        </is>
      </c>
      <c r="B2" t="inlineStr">
        <is>
          <t>Warning</t>
        </is>
      </c>
      <c r="C2" t="inlineStr">
        <is>
          <t>SCR core 150.0µm</t>
        </is>
      </c>
    </row>
    <row r="3">
      <c r="A3" t="inlineStr">
        <is>
          <t>S02</t>
        </is>
      </c>
      <c r="B3" t="inlineStr">
        <is>
          <t>Pass</t>
        </is>
      </c>
      <c r="C3" t="inlineStr">
        <is>
          <t>無</t>
        </is>
      </c>
    </row>
    <row r="4">
      <c r="A4" t="inlineStr">
        <is>
          <t>S03</t>
        </is>
      </c>
      <c r="B4" t="inlineStr">
        <is>
          <t>Pass</t>
        </is>
      </c>
      <c r="C4" t="inlineStr">
        <is>
          <t>SCR peripheral 250.0µm</t>
        </is>
      </c>
    </row>
    <row r="5">
      <c r="A5" t="inlineStr">
        <is>
          <t>S04</t>
        </is>
      </c>
      <c r="B5" t="inlineStr">
        <is>
          <t>Fail</t>
        </is>
      </c>
      <c r="C5" t="inlineStr">
        <is>
          <t>CON core 25µm; CON core 30µm; CON core 35µm</t>
        </is>
      </c>
    </row>
    <row r="6">
      <c r="A6" t="inlineStr">
        <is>
          <t>S05</t>
        </is>
      </c>
      <c r="B6" t="inlineStr">
        <is>
          <t>Warning</t>
        </is>
      </c>
      <c r="C6" t="inlineStr">
        <is>
          <t>CON peripheral 60µm</t>
        </is>
      </c>
    </row>
    <row r="7">
      <c r="A7" t="inlineStr">
        <is>
          <t>S06</t>
        </is>
      </c>
      <c r="B7" t="inlineStr">
        <is>
          <t>Pass</t>
        </is>
      </c>
      <c r="C7" t="inlineStr">
        <is>
          <t>無</t>
        </is>
      </c>
    </row>
    <row r="8">
      <c r="A8" t="inlineStr">
        <is>
          <t>S07</t>
        </is>
      </c>
      <c r="B8" t="inlineStr">
        <is>
          <t>Pass</t>
        </is>
      </c>
      <c r="C8" t="inlineStr">
        <is>
          <t>無</t>
        </is>
      </c>
    </row>
    <row r="9">
      <c r="A9" t="inlineStr">
        <is>
          <t>S08</t>
        </is>
      </c>
      <c r="B9" t="inlineStr">
        <is>
          <t>Warning</t>
        </is>
      </c>
      <c r="C9" t="inlineStr">
        <is>
          <t>CHP peripheral 25µm</t>
        </is>
      </c>
    </row>
    <row r="10">
      <c r="A10" t="inlineStr">
        <is>
          <t>S09</t>
        </is>
      </c>
      <c r="B10" t="inlineStr">
        <is>
          <t>Pass</t>
        </is>
      </c>
      <c r="C10" t="inlineStr">
        <is>
          <t>無</t>
        </is>
      </c>
    </row>
    <row r="11">
      <c r="A11" t="inlineStr">
        <is>
          <t>S10</t>
        </is>
      </c>
      <c r="B11" t="inlineStr">
        <is>
          <t>Pass</t>
        </is>
      </c>
      <c r="C11" t="inlineStr">
        <is>
          <t>CON core 15µm; CHP peripheral 6µm</t>
        </is>
      </c>
    </row>
    <row r="12">
      <c r="A12" t="inlineStr">
        <is>
          <t>S11</t>
        </is>
      </c>
      <c r="B12" t="inlineStr">
        <is>
          <t>Pass</t>
        </is>
      </c>
      <c r="C12" t="inlineStr">
        <is>
          <t>無</t>
        </is>
      </c>
    </row>
    <row r="13">
      <c r="A13" t="inlineStr">
        <is>
          <t>S12</t>
        </is>
      </c>
      <c r="B13" t="inlineStr">
        <is>
          <t>Pass</t>
        </is>
      </c>
      <c r="C13" t="inlineStr">
        <is>
          <t>無</t>
        </is>
      </c>
    </row>
    <row r="14">
      <c r="A14" t="inlineStr">
        <is>
          <t>S13</t>
        </is>
      </c>
      <c r="B14" t="inlineStr">
        <is>
          <t>Warning</t>
        </is>
      </c>
      <c r="C14" t="inlineStr">
        <is>
          <t>SCR peripheral 400.3µm</t>
        </is>
      </c>
    </row>
    <row r="15">
      <c r="A15" t="inlineStr">
        <is>
          <t>S14</t>
        </is>
      </c>
      <c r="B15" t="inlineStr">
        <is>
          <t>Pass</t>
        </is>
      </c>
      <c r="C15" t="inlineStr">
        <is>
          <t>SCR core 70.0µm</t>
        </is>
      </c>
    </row>
    <row r="16">
      <c r="A16" t="inlineStr">
        <is>
          <t>S15</t>
        </is>
      </c>
      <c r="B16" t="inlineStr">
        <is>
          <t>Pass</t>
        </is>
      </c>
      <c r="C16" t="inlineStr">
        <is>
          <t>無</t>
        </is>
      </c>
    </row>
    <row r="17">
      <c r="A17" t="inlineStr">
        <is>
          <t>S16</t>
        </is>
      </c>
      <c r="B17" t="inlineStr">
        <is>
          <t>Fail</t>
        </is>
      </c>
      <c r="C17" t="inlineStr">
        <is>
          <t>CRK peripheral 158.7µm</t>
        </is>
      </c>
    </row>
    <row r="18">
      <c r="A18" t="inlineStr">
        <is>
          <t>S17</t>
        </is>
      </c>
      <c r="B18" t="inlineStr">
        <is>
          <t>Pass</t>
        </is>
      </c>
      <c r="C18" t="inlineStr">
        <is>
          <t>無</t>
        </is>
      </c>
    </row>
    <row r="19">
      <c r="A19" t="inlineStr">
        <is>
          <t>S18</t>
        </is>
      </c>
      <c r="B19" t="inlineStr">
        <is>
          <t>Fail</t>
        </is>
      </c>
      <c r="C19" t="inlineStr">
        <is>
          <t>CHP core 150µm 觸及seal ring</t>
        </is>
      </c>
    </row>
    <row r="20">
      <c r="A20" t="inlineStr">
        <is>
          <t>S19</t>
        </is>
      </c>
      <c r="B20" t="inlineStr">
        <is>
          <t>Warning</t>
        </is>
      </c>
      <c r="C20" t="inlineStr">
        <is>
          <t>CON core 25µm; CON core 40µm</t>
        </is>
      </c>
    </row>
    <row r="21">
      <c r="A21" t="inlineStr">
        <is>
          <t>S20</t>
        </is>
      </c>
      <c r="B21" t="inlineStr">
        <is>
          <t>Fail</t>
        </is>
      </c>
      <c r="C21" t="inlineStr">
        <is>
          <t>CON core 70µm</t>
        </is>
      </c>
    </row>
    <row r="22">
      <c r="A22" t="inlineStr">
        <is>
          <t>S21</t>
        </is>
      </c>
      <c r="B22" t="inlineStr">
        <is>
          <t>Pass</t>
        </is>
      </c>
      <c r="C22" t="inlineStr">
        <is>
          <t>無</t>
        </is>
      </c>
    </row>
    <row r="23">
      <c r="A23" t="inlineStr">
        <is>
          <t>S22</t>
        </is>
      </c>
      <c r="B23" t="inlineStr">
        <is>
          <t>Pass</t>
        </is>
      </c>
      <c r="C23" t="inlineStr">
        <is>
          <t>無</t>
        </is>
      </c>
    </row>
    <row r="24">
      <c r="A24" t="inlineStr">
        <is>
          <t>S23</t>
        </is>
      </c>
      <c r="B24" t="inlineStr">
        <is>
          <t>Fail</t>
        </is>
      </c>
      <c r="C24" t="inlineStr">
        <is>
          <t>CHP peripheral 105µm 觸及seal ring</t>
        </is>
      </c>
    </row>
    <row r="25">
      <c r="A25" t="inlineStr">
        <is>
          <t>S24</t>
        </is>
      </c>
      <c r="B25" t="inlineStr">
        <is>
          <t>Pass</t>
        </is>
      </c>
      <c r="C25" t="inlineStr">
        <is>
          <t>CHP peripheral 8µm</t>
        </is>
      </c>
    </row>
    <row r="26">
      <c r="A26" t="inlineStr">
        <is>
          <t>S25</t>
        </is>
      </c>
      <c r="B26" t="inlineStr">
        <is>
          <t>Fail</t>
        </is>
      </c>
      <c r="C26" t="inlineStr">
        <is>
          <t>SCR core 450.0µm</t>
        </is>
      </c>
    </row>
    <row r="27">
      <c r="A27" t="inlineStr">
        <is>
          <t>S26</t>
        </is>
      </c>
      <c r="B27" t="inlineStr">
        <is>
          <t>Pass</t>
        </is>
      </c>
      <c r="C27" t="inlineStr">
        <is>
          <t>SCR peripheral 150.4µm</t>
        </is>
      </c>
    </row>
    <row r="28">
      <c r="A28" t="inlineStr">
        <is>
          <t>S27</t>
        </is>
      </c>
      <c r="B28" t="inlineStr">
        <is>
          <t>Pass</t>
        </is>
      </c>
      <c r="C28" t="inlineStr">
        <is>
          <t>CHP peripheral 5µm</t>
        </is>
      </c>
    </row>
    <row r="29">
      <c r="A29" t="inlineStr">
        <is>
          <t>S28</t>
        </is>
      </c>
      <c r="B29" t="inlineStr">
        <is>
          <t>Warning</t>
        </is>
      </c>
      <c r="C29" t="inlineStr">
        <is>
          <t>CHP peripheral 12µm</t>
        </is>
      </c>
    </row>
    <row r="30">
      <c r="A30" t="inlineStr">
        <is>
          <t>S29</t>
        </is>
      </c>
      <c r="B30" t="inlineStr">
        <is>
          <t>Pass</t>
        </is>
      </c>
      <c r="C30" t="inlineStr">
        <is>
          <t>CON core 12µm</t>
        </is>
      </c>
    </row>
    <row r="31">
      <c r="A31" t="inlineStr">
        <is>
          <t>S30</t>
        </is>
      </c>
      <c r="B31" t="inlineStr">
        <is>
          <t>Pass</t>
        </is>
      </c>
      <c r="C31" t="inlineStr">
        <is>
          <t>無</t>
        </is>
      </c>
    </row>
    <row r="32">
      <c r="A32" t="inlineStr">
        <is>
          <t>S31</t>
        </is>
      </c>
      <c r="B32" t="inlineStr">
        <is>
          <t>Pass</t>
        </is>
      </c>
      <c r="C32" t="inlineStr">
        <is>
          <t>CON peripheral 35µm</t>
        </is>
      </c>
    </row>
    <row r="33">
      <c r="A33" t="inlineStr">
        <is>
          <t>S32</t>
        </is>
      </c>
      <c r="B33" t="inlineStr">
        <is>
          <t>Pass</t>
        </is>
      </c>
      <c r="C33" t="inlineStr">
        <is>
          <t>CON core 15µm; CON core 15µm</t>
        </is>
      </c>
    </row>
    <row r="34">
      <c r="A34" t="inlineStr">
        <is>
          <t>S33</t>
        </is>
      </c>
      <c r="B34" t="inlineStr">
        <is>
          <t>Warning</t>
        </is>
      </c>
      <c r="C34" t="inlineStr">
        <is>
          <t>CHP peripheral 20µm</t>
        </is>
      </c>
    </row>
    <row r="35">
      <c r="A35" t="inlineStr">
        <is>
          <t>S34</t>
        </is>
      </c>
      <c r="B35" t="inlineStr">
        <is>
          <t>Fail</t>
        </is>
      </c>
      <c r="C35" t="inlineStr">
        <is>
          <t>CRK core 400.0µm</t>
        </is>
      </c>
    </row>
    <row r="36">
      <c r="A36" t="inlineStr">
        <is>
          <t>S35</t>
        </is>
      </c>
      <c r="B36" t="inlineStr">
        <is>
          <t>Warning</t>
        </is>
      </c>
      <c r="C36" t="inlineStr">
        <is>
          <t>CON core 30µm</t>
        </is>
      </c>
    </row>
    <row r="37">
      <c r="A37" t="inlineStr">
        <is>
          <t>S36</t>
        </is>
      </c>
      <c r="B37" t="inlineStr">
        <is>
          <t>Pass</t>
        </is>
      </c>
      <c r="C37" t="inlineStr">
        <is>
          <t>無</t>
        </is>
      </c>
    </row>
    <row r="38">
      <c r="A38" t="inlineStr">
        <is>
          <t>S37</t>
        </is>
      </c>
      <c r="B38" t="inlineStr">
        <is>
          <t>Warning</t>
        </is>
      </c>
      <c r="C38" t="inlineStr">
        <is>
          <t>SCR core 280.0µm</t>
        </is>
      </c>
    </row>
    <row r="39">
      <c r="A39" t="inlineStr">
        <is>
          <t>S38</t>
        </is>
      </c>
      <c r="B39" t="inlineStr">
        <is>
          <t>Fail</t>
        </is>
      </c>
      <c r="C39" t="inlineStr">
        <is>
          <t>CHP peripheral 40µm</t>
        </is>
      </c>
    </row>
    <row r="40">
      <c r="A40" t="inlineStr">
        <is>
          <t>S39</t>
        </is>
      </c>
      <c r="B40" t="inlineStr">
        <is>
          <t>Fail</t>
        </is>
      </c>
      <c r="C40" t="inlineStr">
        <is>
          <t>SCR core 180.0µm 經過pad</t>
        </is>
      </c>
    </row>
    <row r="41">
      <c r="A41" t="inlineStr">
        <is>
          <t>S40</t>
        </is>
      </c>
      <c r="B41" t="inlineStr">
        <is>
          <t>Pass</t>
        </is>
      </c>
      <c r="C41" t="inlineStr">
        <is>
          <t>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</cols>
  <sheetData>
    <row r="1">
      <c r="A1" s="2" t="inlineStr">
        <is>
          <t>樣本</t>
        </is>
      </c>
      <c r="B1" s="2" t="inlineStr">
        <is>
          <t>第1輪判定</t>
        </is>
      </c>
      <c r="C1" s="2" t="inlineStr">
        <is>
          <t>第2輪判定</t>
        </is>
      </c>
      <c r="D1" s="2" t="inlineStr">
        <is>
          <t>兩輪一致 (1/0)</t>
        </is>
      </c>
      <c r="E1" s="2" t="inlineStr">
        <is>
          <t>標準答案</t>
        </is>
      </c>
      <c r="F1" s="2" t="inlineStr">
        <is>
          <t>第1輪對 (1/0)</t>
        </is>
      </c>
      <c r="G1" s="2" t="inlineStr">
        <is>
          <t>第2輪對 (1/0)</t>
        </is>
      </c>
    </row>
    <row r="2">
      <c r="A2" t="inlineStr">
        <is>
          <t>S01</t>
        </is>
      </c>
      <c r="B2">
        <f>IFERROR(IF(INDEX(第1輪!$F$2:$F$41,MATCH(A2,第1輪!$B$2:$B$41,0))="","",INDEX(第1輪!$F$2:$F$41,MATCH(A2,第1輪!$B$2:$B$41,0))),"")</f>
        <v/>
      </c>
      <c r="C2">
        <f>IFERROR(IF(INDEX(第2輪!$F$2:$F$41,MATCH(A2,第2輪!$B$2:$B$41,0))="","",INDEX(第2輪!$F$2:$F$41,MATCH(A2,第2輪!$B$2:$B$41,0))),"")</f>
        <v/>
      </c>
      <c r="D2">
        <f>IF(OR(B2="",C2=""),"",IF(B2=C2,1,0))</f>
        <v/>
      </c>
      <c r="E2">
        <f>IFERROR(INDEX(標準答案!$B$2:$B$41,MATCH(A2,標準答案!$A$2:$A$41,0)),"")</f>
        <v/>
      </c>
      <c r="F2">
        <f>IF(B2="","",IF(B2=E2,1,0))</f>
        <v/>
      </c>
      <c r="G2">
        <f>IF(C2="","",IF(C2=E2,1,0))</f>
        <v/>
      </c>
    </row>
    <row r="3">
      <c r="A3" t="inlineStr">
        <is>
          <t>S02</t>
        </is>
      </c>
      <c r="B3">
        <f>IFERROR(IF(INDEX(第1輪!$F$2:$F$41,MATCH(A3,第1輪!$B$2:$B$41,0))="","",INDEX(第1輪!$F$2:$F$41,MATCH(A3,第1輪!$B$2:$B$41,0))),"")</f>
        <v/>
      </c>
      <c r="C3">
        <f>IFERROR(IF(INDEX(第2輪!$F$2:$F$41,MATCH(A3,第2輪!$B$2:$B$41,0))="","",INDEX(第2輪!$F$2:$F$41,MATCH(A3,第2輪!$B$2:$B$41,0))),"")</f>
        <v/>
      </c>
      <c r="D3">
        <f>IF(OR(B3="",C3=""),"",IF(B3=C3,1,0))</f>
        <v/>
      </c>
      <c r="E3">
        <f>IFERROR(INDEX(標準答案!$B$2:$B$41,MATCH(A3,標準答案!$A$2:$A$41,0)),"")</f>
        <v/>
      </c>
      <c r="F3">
        <f>IF(B3="","",IF(B3=E3,1,0))</f>
        <v/>
      </c>
      <c r="G3">
        <f>IF(C3="","",IF(C3=E3,1,0))</f>
        <v/>
      </c>
    </row>
    <row r="4">
      <c r="A4" t="inlineStr">
        <is>
          <t>S03</t>
        </is>
      </c>
      <c r="B4">
        <f>IFERROR(IF(INDEX(第1輪!$F$2:$F$41,MATCH(A4,第1輪!$B$2:$B$41,0))="","",INDEX(第1輪!$F$2:$F$41,MATCH(A4,第1輪!$B$2:$B$41,0))),"")</f>
        <v/>
      </c>
      <c r="C4">
        <f>IFERROR(IF(INDEX(第2輪!$F$2:$F$41,MATCH(A4,第2輪!$B$2:$B$41,0))="","",INDEX(第2輪!$F$2:$F$41,MATCH(A4,第2輪!$B$2:$B$41,0))),"")</f>
        <v/>
      </c>
      <c r="D4">
        <f>IF(OR(B4="",C4=""),"",IF(B4=C4,1,0))</f>
        <v/>
      </c>
      <c r="E4">
        <f>IFERROR(INDEX(標準答案!$B$2:$B$41,MATCH(A4,標準答案!$A$2:$A$41,0)),"")</f>
        <v/>
      </c>
      <c r="F4">
        <f>IF(B4="","",IF(B4=E4,1,0))</f>
        <v/>
      </c>
      <c r="G4">
        <f>IF(C4="","",IF(C4=E4,1,0))</f>
        <v/>
      </c>
    </row>
    <row r="5">
      <c r="A5" t="inlineStr">
        <is>
          <t>S04</t>
        </is>
      </c>
      <c r="B5">
        <f>IFERROR(IF(INDEX(第1輪!$F$2:$F$41,MATCH(A5,第1輪!$B$2:$B$41,0))="","",INDEX(第1輪!$F$2:$F$41,MATCH(A5,第1輪!$B$2:$B$41,0))),"")</f>
        <v/>
      </c>
      <c r="C5">
        <f>IFERROR(IF(INDEX(第2輪!$F$2:$F$41,MATCH(A5,第2輪!$B$2:$B$41,0))="","",INDEX(第2輪!$F$2:$F$41,MATCH(A5,第2輪!$B$2:$B$41,0))),"")</f>
        <v/>
      </c>
      <c r="D5">
        <f>IF(OR(B5="",C5=""),"",IF(B5=C5,1,0))</f>
        <v/>
      </c>
      <c r="E5">
        <f>IFERROR(INDEX(標準答案!$B$2:$B$41,MATCH(A5,標準答案!$A$2:$A$41,0)),"")</f>
        <v/>
      </c>
      <c r="F5">
        <f>IF(B5="","",IF(B5=E5,1,0))</f>
        <v/>
      </c>
      <c r="G5">
        <f>IF(C5="","",IF(C5=E5,1,0))</f>
        <v/>
      </c>
    </row>
    <row r="6">
      <c r="A6" t="inlineStr">
        <is>
          <t>S05</t>
        </is>
      </c>
      <c r="B6">
        <f>IFERROR(IF(INDEX(第1輪!$F$2:$F$41,MATCH(A6,第1輪!$B$2:$B$41,0))="","",INDEX(第1輪!$F$2:$F$41,MATCH(A6,第1輪!$B$2:$B$41,0))),"")</f>
        <v/>
      </c>
      <c r="C6">
        <f>IFERROR(IF(INDEX(第2輪!$F$2:$F$41,MATCH(A6,第2輪!$B$2:$B$41,0))="","",INDEX(第2輪!$F$2:$F$41,MATCH(A6,第2輪!$B$2:$B$41,0))),"")</f>
        <v/>
      </c>
      <c r="D6">
        <f>IF(OR(B6="",C6=""),"",IF(B6=C6,1,0))</f>
        <v/>
      </c>
      <c r="E6">
        <f>IFERROR(INDEX(標準答案!$B$2:$B$41,MATCH(A6,標準答案!$A$2:$A$41,0)),"")</f>
        <v/>
      </c>
      <c r="F6">
        <f>IF(B6="","",IF(B6=E6,1,0))</f>
        <v/>
      </c>
      <c r="G6">
        <f>IF(C6="","",IF(C6=E6,1,0))</f>
        <v/>
      </c>
    </row>
    <row r="7">
      <c r="A7" t="inlineStr">
        <is>
          <t>S06</t>
        </is>
      </c>
      <c r="B7">
        <f>IFERROR(IF(INDEX(第1輪!$F$2:$F$41,MATCH(A7,第1輪!$B$2:$B$41,0))="","",INDEX(第1輪!$F$2:$F$41,MATCH(A7,第1輪!$B$2:$B$41,0))),"")</f>
        <v/>
      </c>
      <c r="C7">
        <f>IFERROR(IF(INDEX(第2輪!$F$2:$F$41,MATCH(A7,第2輪!$B$2:$B$41,0))="","",INDEX(第2輪!$F$2:$F$41,MATCH(A7,第2輪!$B$2:$B$41,0))),"")</f>
        <v/>
      </c>
      <c r="D7">
        <f>IF(OR(B7="",C7=""),"",IF(B7=C7,1,0))</f>
        <v/>
      </c>
      <c r="E7">
        <f>IFERROR(INDEX(標準答案!$B$2:$B$41,MATCH(A7,標準答案!$A$2:$A$41,0)),"")</f>
        <v/>
      </c>
      <c r="F7">
        <f>IF(B7="","",IF(B7=E7,1,0))</f>
        <v/>
      </c>
      <c r="G7">
        <f>IF(C7="","",IF(C7=E7,1,0))</f>
        <v/>
      </c>
    </row>
    <row r="8">
      <c r="A8" t="inlineStr">
        <is>
          <t>S07</t>
        </is>
      </c>
      <c r="B8">
        <f>IFERROR(IF(INDEX(第1輪!$F$2:$F$41,MATCH(A8,第1輪!$B$2:$B$41,0))="","",INDEX(第1輪!$F$2:$F$41,MATCH(A8,第1輪!$B$2:$B$41,0))),"")</f>
        <v/>
      </c>
      <c r="C8">
        <f>IFERROR(IF(INDEX(第2輪!$F$2:$F$41,MATCH(A8,第2輪!$B$2:$B$41,0))="","",INDEX(第2輪!$F$2:$F$41,MATCH(A8,第2輪!$B$2:$B$41,0))),"")</f>
        <v/>
      </c>
      <c r="D8">
        <f>IF(OR(B8="",C8=""),"",IF(B8=C8,1,0))</f>
        <v/>
      </c>
      <c r="E8">
        <f>IFERROR(INDEX(標準答案!$B$2:$B$41,MATCH(A8,標準答案!$A$2:$A$41,0)),"")</f>
        <v/>
      </c>
      <c r="F8">
        <f>IF(B8="","",IF(B8=E8,1,0))</f>
        <v/>
      </c>
      <c r="G8">
        <f>IF(C8="","",IF(C8=E8,1,0))</f>
        <v/>
      </c>
    </row>
    <row r="9">
      <c r="A9" t="inlineStr">
        <is>
          <t>S08</t>
        </is>
      </c>
      <c r="B9">
        <f>IFERROR(IF(INDEX(第1輪!$F$2:$F$41,MATCH(A9,第1輪!$B$2:$B$41,0))="","",INDEX(第1輪!$F$2:$F$41,MATCH(A9,第1輪!$B$2:$B$41,0))),"")</f>
        <v/>
      </c>
      <c r="C9">
        <f>IFERROR(IF(INDEX(第2輪!$F$2:$F$41,MATCH(A9,第2輪!$B$2:$B$41,0))="","",INDEX(第2輪!$F$2:$F$41,MATCH(A9,第2輪!$B$2:$B$41,0))),"")</f>
        <v/>
      </c>
      <c r="D9">
        <f>IF(OR(B9="",C9=""),"",IF(B9=C9,1,0))</f>
        <v/>
      </c>
      <c r="E9">
        <f>IFERROR(INDEX(標準答案!$B$2:$B$41,MATCH(A9,標準答案!$A$2:$A$41,0)),"")</f>
        <v/>
      </c>
      <c r="F9">
        <f>IF(B9="","",IF(B9=E9,1,0))</f>
        <v/>
      </c>
      <c r="G9">
        <f>IF(C9="","",IF(C9=E9,1,0))</f>
        <v/>
      </c>
    </row>
    <row r="10">
      <c r="A10" t="inlineStr">
        <is>
          <t>S09</t>
        </is>
      </c>
      <c r="B10">
        <f>IFERROR(IF(INDEX(第1輪!$F$2:$F$41,MATCH(A10,第1輪!$B$2:$B$41,0))="","",INDEX(第1輪!$F$2:$F$41,MATCH(A10,第1輪!$B$2:$B$41,0))),"")</f>
        <v/>
      </c>
      <c r="C10">
        <f>IFERROR(IF(INDEX(第2輪!$F$2:$F$41,MATCH(A10,第2輪!$B$2:$B$41,0))="","",INDEX(第2輪!$F$2:$F$41,MATCH(A10,第2輪!$B$2:$B$41,0))),"")</f>
        <v/>
      </c>
      <c r="D10">
        <f>IF(OR(B10="",C10=""),"",IF(B10=C10,1,0))</f>
        <v/>
      </c>
      <c r="E10">
        <f>IFERROR(INDEX(標準答案!$B$2:$B$41,MATCH(A10,標準答案!$A$2:$A$41,0)),"")</f>
        <v/>
      </c>
      <c r="F10">
        <f>IF(B10="","",IF(B10=E10,1,0))</f>
        <v/>
      </c>
      <c r="G10">
        <f>IF(C10="","",IF(C10=E10,1,0))</f>
        <v/>
      </c>
    </row>
    <row r="11">
      <c r="A11" t="inlineStr">
        <is>
          <t>S10</t>
        </is>
      </c>
      <c r="B11">
        <f>IFERROR(IF(INDEX(第1輪!$F$2:$F$41,MATCH(A11,第1輪!$B$2:$B$41,0))="","",INDEX(第1輪!$F$2:$F$41,MATCH(A11,第1輪!$B$2:$B$41,0))),"")</f>
        <v/>
      </c>
      <c r="C11">
        <f>IFERROR(IF(INDEX(第2輪!$F$2:$F$41,MATCH(A11,第2輪!$B$2:$B$41,0))="","",INDEX(第2輪!$F$2:$F$41,MATCH(A11,第2輪!$B$2:$B$41,0))),"")</f>
        <v/>
      </c>
      <c r="D11">
        <f>IF(OR(B11="",C11=""),"",IF(B11=C11,1,0))</f>
        <v/>
      </c>
      <c r="E11">
        <f>IFERROR(INDEX(標準答案!$B$2:$B$41,MATCH(A11,標準答案!$A$2:$A$41,0)),"")</f>
        <v/>
      </c>
      <c r="F11">
        <f>IF(B11="","",IF(B11=E11,1,0))</f>
        <v/>
      </c>
      <c r="G11">
        <f>IF(C11="","",IF(C11=E11,1,0))</f>
        <v/>
      </c>
    </row>
    <row r="12">
      <c r="A12" t="inlineStr">
        <is>
          <t>S11</t>
        </is>
      </c>
      <c r="B12">
        <f>IFERROR(IF(INDEX(第1輪!$F$2:$F$41,MATCH(A12,第1輪!$B$2:$B$41,0))="","",INDEX(第1輪!$F$2:$F$41,MATCH(A12,第1輪!$B$2:$B$41,0))),"")</f>
        <v/>
      </c>
      <c r="C12">
        <f>IFERROR(IF(INDEX(第2輪!$F$2:$F$41,MATCH(A12,第2輪!$B$2:$B$41,0))="","",INDEX(第2輪!$F$2:$F$41,MATCH(A12,第2輪!$B$2:$B$41,0))),"")</f>
        <v/>
      </c>
      <c r="D12">
        <f>IF(OR(B12="",C12=""),"",IF(B12=C12,1,0))</f>
        <v/>
      </c>
      <c r="E12">
        <f>IFERROR(INDEX(標準答案!$B$2:$B$41,MATCH(A12,標準答案!$A$2:$A$41,0)),"")</f>
        <v/>
      </c>
      <c r="F12">
        <f>IF(B12="","",IF(B12=E12,1,0))</f>
        <v/>
      </c>
      <c r="G12">
        <f>IF(C12="","",IF(C12=E12,1,0))</f>
        <v/>
      </c>
    </row>
    <row r="13">
      <c r="A13" t="inlineStr">
        <is>
          <t>S12</t>
        </is>
      </c>
      <c r="B13">
        <f>IFERROR(IF(INDEX(第1輪!$F$2:$F$41,MATCH(A13,第1輪!$B$2:$B$41,0))="","",INDEX(第1輪!$F$2:$F$41,MATCH(A13,第1輪!$B$2:$B$41,0))),"")</f>
        <v/>
      </c>
      <c r="C13">
        <f>IFERROR(IF(INDEX(第2輪!$F$2:$F$41,MATCH(A13,第2輪!$B$2:$B$41,0))="","",INDEX(第2輪!$F$2:$F$41,MATCH(A13,第2輪!$B$2:$B$41,0))),"")</f>
        <v/>
      </c>
      <c r="D13">
        <f>IF(OR(B13="",C13=""),"",IF(B13=C13,1,0))</f>
        <v/>
      </c>
      <c r="E13">
        <f>IFERROR(INDEX(標準答案!$B$2:$B$41,MATCH(A13,標準答案!$A$2:$A$41,0)),"")</f>
        <v/>
      </c>
      <c r="F13">
        <f>IF(B13="","",IF(B13=E13,1,0))</f>
        <v/>
      </c>
      <c r="G13">
        <f>IF(C13="","",IF(C13=E13,1,0))</f>
        <v/>
      </c>
    </row>
    <row r="14">
      <c r="A14" t="inlineStr">
        <is>
          <t>S13</t>
        </is>
      </c>
      <c r="B14">
        <f>IFERROR(IF(INDEX(第1輪!$F$2:$F$41,MATCH(A14,第1輪!$B$2:$B$41,0))="","",INDEX(第1輪!$F$2:$F$41,MATCH(A14,第1輪!$B$2:$B$41,0))),"")</f>
        <v/>
      </c>
      <c r="C14">
        <f>IFERROR(IF(INDEX(第2輪!$F$2:$F$41,MATCH(A14,第2輪!$B$2:$B$41,0))="","",INDEX(第2輪!$F$2:$F$41,MATCH(A14,第2輪!$B$2:$B$41,0))),"")</f>
        <v/>
      </c>
      <c r="D14">
        <f>IF(OR(B14="",C14=""),"",IF(B14=C14,1,0))</f>
        <v/>
      </c>
      <c r="E14">
        <f>IFERROR(INDEX(標準答案!$B$2:$B$41,MATCH(A14,標準答案!$A$2:$A$41,0)),"")</f>
        <v/>
      </c>
      <c r="F14">
        <f>IF(B14="","",IF(B14=E14,1,0))</f>
        <v/>
      </c>
      <c r="G14">
        <f>IF(C14="","",IF(C14=E14,1,0))</f>
        <v/>
      </c>
    </row>
    <row r="15">
      <c r="A15" t="inlineStr">
        <is>
          <t>S14</t>
        </is>
      </c>
      <c r="B15">
        <f>IFERROR(IF(INDEX(第1輪!$F$2:$F$41,MATCH(A15,第1輪!$B$2:$B$41,0))="","",INDEX(第1輪!$F$2:$F$41,MATCH(A15,第1輪!$B$2:$B$41,0))),"")</f>
        <v/>
      </c>
      <c r="C15">
        <f>IFERROR(IF(INDEX(第2輪!$F$2:$F$41,MATCH(A15,第2輪!$B$2:$B$41,0))="","",INDEX(第2輪!$F$2:$F$41,MATCH(A15,第2輪!$B$2:$B$41,0))),"")</f>
        <v/>
      </c>
      <c r="D15">
        <f>IF(OR(B15="",C15=""),"",IF(B15=C15,1,0))</f>
        <v/>
      </c>
      <c r="E15">
        <f>IFERROR(INDEX(標準答案!$B$2:$B$41,MATCH(A15,標準答案!$A$2:$A$41,0)),"")</f>
        <v/>
      </c>
      <c r="F15">
        <f>IF(B15="","",IF(B15=E15,1,0))</f>
        <v/>
      </c>
      <c r="G15">
        <f>IF(C15="","",IF(C15=E15,1,0))</f>
        <v/>
      </c>
    </row>
    <row r="16">
      <c r="A16" t="inlineStr">
        <is>
          <t>S15</t>
        </is>
      </c>
      <c r="B16">
        <f>IFERROR(IF(INDEX(第1輪!$F$2:$F$41,MATCH(A16,第1輪!$B$2:$B$41,0))="","",INDEX(第1輪!$F$2:$F$41,MATCH(A16,第1輪!$B$2:$B$41,0))),"")</f>
        <v/>
      </c>
      <c r="C16">
        <f>IFERROR(IF(INDEX(第2輪!$F$2:$F$41,MATCH(A16,第2輪!$B$2:$B$41,0))="","",INDEX(第2輪!$F$2:$F$41,MATCH(A16,第2輪!$B$2:$B$41,0))),"")</f>
        <v/>
      </c>
      <c r="D16">
        <f>IF(OR(B16="",C16=""),"",IF(B16=C16,1,0))</f>
        <v/>
      </c>
      <c r="E16">
        <f>IFERROR(INDEX(標準答案!$B$2:$B$41,MATCH(A16,標準答案!$A$2:$A$41,0)),"")</f>
        <v/>
      </c>
      <c r="F16">
        <f>IF(B16="","",IF(B16=E16,1,0))</f>
        <v/>
      </c>
      <c r="G16">
        <f>IF(C16="","",IF(C16=E16,1,0))</f>
        <v/>
      </c>
    </row>
    <row r="17">
      <c r="A17" t="inlineStr">
        <is>
          <t>S16</t>
        </is>
      </c>
      <c r="B17">
        <f>IFERROR(IF(INDEX(第1輪!$F$2:$F$41,MATCH(A17,第1輪!$B$2:$B$41,0))="","",INDEX(第1輪!$F$2:$F$41,MATCH(A17,第1輪!$B$2:$B$41,0))),"")</f>
        <v/>
      </c>
      <c r="C17">
        <f>IFERROR(IF(INDEX(第2輪!$F$2:$F$41,MATCH(A17,第2輪!$B$2:$B$41,0))="","",INDEX(第2輪!$F$2:$F$41,MATCH(A17,第2輪!$B$2:$B$41,0))),"")</f>
        <v/>
      </c>
      <c r="D17">
        <f>IF(OR(B17="",C17=""),"",IF(B17=C17,1,0))</f>
        <v/>
      </c>
      <c r="E17">
        <f>IFERROR(INDEX(標準答案!$B$2:$B$41,MATCH(A17,標準答案!$A$2:$A$41,0)),"")</f>
        <v/>
      </c>
      <c r="F17">
        <f>IF(B17="","",IF(B17=E17,1,0))</f>
        <v/>
      </c>
      <c r="G17">
        <f>IF(C17="","",IF(C17=E17,1,0))</f>
        <v/>
      </c>
    </row>
    <row r="18">
      <c r="A18" t="inlineStr">
        <is>
          <t>S17</t>
        </is>
      </c>
      <c r="B18">
        <f>IFERROR(IF(INDEX(第1輪!$F$2:$F$41,MATCH(A18,第1輪!$B$2:$B$41,0))="","",INDEX(第1輪!$F$2:$F$41,MATCH(A18,第1輪!$B$2:$B$41,0))),"")</f>
        <v/>
      </c>
      <c r="C18">
        <f>IFERROR(IF(INDEX(第2輪!$F$2:$F$41,MATCH(A18,第2輪!$B$2:$B$41,0))="","",INDEX(第2輪!$F$2:$F$41,MATCH(A18,第2輪!$B$2:$B$41,0))),"")</f>
        <v/>
      </c>
      <c r="D18">
        <f>IF(OR(B18="",C18=""),"",IF(B18=C18,1,0))</f>
        <v/>
      </c>
      <c r="E18">
        <f>IFERROR(INDEX(標準答案!$B$2:$B$41,MATCH(A18,標準答案!$A$2:$A$41,0)),"")</f>
        <v/>
      </c>
      <c r="F18">
        <f>IF(B18="","",IF(B18=E18,1,0))</f>
        <v/>
      </c>
      <c r="G18">
        <f>IF(C18="","",IF(C18=E18,1,0))</f>
        <v/>
      </c>
    </row>
    <row r="19">
      <c r="A19" t="inlineStr">
        <is>
          <t>S18</t>
        </is>
      </c>
      <c r="B19">
        <f>IFERROR(IF(INDEX(第1輪!$F$2:$F$41,MATCH(A19,第1輪!$B$2:$B$41,0))="","",INDEX(第1輪!$F$2:$F$41,MATCH(A19,第1輪!$B$2:$B$41,0))),"")</f>
        <v/>
      </c>
      <c r="C19">
        <f>IFERROR(IF(INDEX(第2輪!$F$2:$F$41,MATCH(A19,第2輪!$B$2:$B$41,0))="","",INDEX(第2輪!$F$2:$F$41,MATCH(A19,第2輪!$B$2:$B$41,0))),"")</f>
        <v/>
      </c>
      <c r="D19">
        <f>IF(OR(B19="",C19=""),"",IF(B19=C19,1,0))</f>
        <v/>
      </c>
      <c r="E19">
        <f>IFERROR(INDEX(標準答案!$B$2:$B$41,MATCH(A19,標準答案!$A$2:$A$41,0)),"")</f>
        <v/>
      </c>
      <c r="F19">
        <f>IF(B19="","",IF(B19=E19,1,0))</f>
        <v/>
      </c>
      <c r="G19">
        <f>IF(C19="","",IF(C19=E19,1,0))</f>
        <v/>
      </c>
    </row>
    <row r="20">
      <c r="A20" t="inlineStr">
        <is>
          <t>S19</t>
        </is>
      </c>
      <c r="B20">
        <f>IFERROR(IF(INDEX(第1輪!$F$2:$F$41,MATCH(A20,第1輪!$B$2:$B$41,0))="","",INDEX(第1輪!$F$2:$F$41,MATCH(A20,第1輪!$B$2:$B$41,0))),"")</f>
        <v/>
      </c>
      <c r="C20">
        <f>IFERROR(IF(INDEX(第2輪!$F$2:$F$41,MATCH(A20,第2輪!$B$2:$B$41,0))="","",INDEX(第2輪!$F$2:$F$41,MATCH(A20,第2輪!$B$2:$B$41,0))),"")</f>
        <v/>
      </c>
      <c r="D20">
        <f>IF(OR(B20="",C20=""),"",IF(B20=C20,1,0))</f>
        <v/>
      </c>
      <c r="E20">
        <f>IFERROR(INDEX(標準答案!$B$2:$B$41,MATCH(A20,標準答案!$A$2:$A$41,0)),"")</f>
        <v/>
      </c>
      <c r="F20">
        <f>IF(B20="","",IF(B20=E20,1,0))</f>
        <v/>
      </c>
      <c r="G20">
        <f>IF(C20="","",IF(C20=E20,1,0))</f>
        <v/>
      </c>
    </row>
    <row r="21">
      <c r="A21" t="inlineStr">
        <is>
          <t>S20</t>
        </is>
      </c>
      <c r="B21">
        <f>IFERROR(IF(INDEX(第1輪!$F$2:$F$41,MATCH(A21,第1輪!$B$2:$B$41,0))="","",INDEX(第1輪!$F$2:$F$41,MATCH(A21,第1輪!$B$2:$B$41,0))),"")</f>
        <v/>
      </c>
      <c r="C21">
        <f>IFERROR(IF(INDEX(第2輪!$F$2:$F$41,MATCH(A21,第2輪!$B$2:$B$41,0))="","",INDEX(第2輪!$F$2:$F$41,MATCH(A21,第2輪!$B$2:$B$41,0))),"")</f>
        <v/>
      </c>
      <c r="D21">
        <f>IF(OR(B21="",C21=""),"",IF(B21=C21,1,0))</f>
        <v/>
      </c>
      <c r="E21">
        <f>IFERROR(INDEX(標準答案!$B$2:$B$41,MATCH(A21,標準答案!$A$2:$A$41,0)),"")</f>
        <v/>
      </c>
      <c r="F21">
        <f>IF(B21="","",IF(B21=E21,1,0))</f>
        <v/>
      </c>
      <c r="G21">
        <f>IF(C21="","",IF(C21=E21,1,0))</f>
        <v/>
      </c>
    </row>
    <row r="22">
      <c r="A22" t="inlineStr">
        <is>
          <t>S21</t>
        </is>
      </c>
      <c r="B22">
        <f>IFERROR(IF(INDEX(第1輪!$F$2:$F$41,MATCH(A22,第1輪!$B$2:$B$41,0))="","",INDEX(第1輪!$F$2:$F$41,MATCH(A22,第1輪!$B$2:$B$41,0))),"")</f>
        <v/>
      </c>
      <c r="C22">
        <f>IFERROR(IF(INDEX(第2輪!$F$2:$F$41,MATCH(A22,第2輪!$B$2:$B$41,0))="","",INDEX(第2輪!$F$2:$F$41,MATCH(A22,第2輪!$B$2:$B$41,0))),"")</f>
        <v/>
      </c>
      <c r="D22">
        <f>IF(OR(B22="",C22=""),"",IF(B22=C22,1,0))</f>
        <v/>
      </c>
      <c r="E22">
        <f>IFERROR(INDEX(標準答案!$B$2:$B$41,MATCH(A22,標準答案!$A$2:$A$41,0)),"")</f>
        <v/>
      </c>
      <c r="F22">
        <f>IF(B22="","",IF(B22=E22,1,0))</f>
        <v/>
      </c>
      <c r="G22">
        <f>IF(C22="","",IF(C22=E22,1,0))</f>
        <v/>
      </c>
    </row>
    <row r="23">
      <c r="A23" t="inlineStr">
        <is>
          <t>S22</t>
        </is>
      </c>
      <c r="B23">
        <f>IFERROR(IF(INDEX(第1輪!$F$2:$F$41,MATCH(A23,第1輪!$B$2:$B$41,0))="","",INDEX(第1輪!$F$2:$F$41,MATCH(A23,第1輪!$B$2:$B$41,0))),"")</f>
        <v/>
      </c>
      <c r="C23">
        <f>IFERROR(IF(INDEX(第2輪!$F$2:$F$41,MATCH(A23,第2輪!$B$2:$B$41,0))="","",INDEX(第2輪!$F$2:$F$41,MATCH(A23,第2輪!$B$2:$B$41,0))),"")</f>
        <v/>
      </c>
      <c r="D23">
        <f>IF(OR(B23="",C23=""),"",IF(B23=C23,1,0))</f>
        <v/>
      </c>
      <c r="E23">
        <f>IFERROR(INDEX(標準答案!$B$2:$B$41,MATCH(A23,標準答案!$A$2:$A$41,0)),"")</f>
        <v/>
      </c>
      <c r="F23">
        <f>IF(B23="","",IF(B23=E23,1,0))</f>
        <v/>
      </c>
      <c r="G23">
        <f>IF(C23="","",IF(C23=E23,1,0))</f>
        <v/>
      </c>
    </row>
    <row r="24">
      <c r="A24" t="inlineStr">
        <is>
          <t>S23</t>
        </is>
      </c>
      <c r="B24">
        <f>IFERROR(IF(INDEX(第1輪!$F$2:$F$41,MATCH(A24,第1輪!$B$2:$B$41,0))="","",INDEX(第1輪!$F$2:$F$41,MATCH(A24,第1輪!$B$2:$B$41,0))),"")</f>
        <v/>
      </c>
      <c r="C24">
        <f>IFERROR(IF(INDEX(第2輪!$F$2:$F$41,MATCH(A24,第2輪!$B$2:$B$41,0))="","",INDEX(第2輪!$F$2:$F$41,MATCH(A24,第2輪!$B$2:$B$41,0))),"")</f>
        <v/>
      </c>
      <c r="D24">
        <f>IF(OR(B24="",C24=""),"",IF(B24=C24,1,0))</f>
        <v/>
      </c>
      <c r="E24">
        <f>IFERROR(INDEX(標準答案!$B$2:$B$41,MATCH(A24,標準答案!$A$2:$A$41,0)),"")</f>
        <v/>
      </c>
      <c r="F24">
        <f>IF(B24="","",IF(B24=E24,1,0))</f>
        <v/>
      </c>
      <c r="G24">
        <f>IF(C24="","",IF(C24=E24,1,0))</f>
        <v/>
      </c>
    </row>
    <row r="25">
      <c r="A25" t="inlineStr">
        <is>
          <t>S24</t>
        </is>
      </c>
      <c r="B25">
        <f>IFERROR(IF(INDEX(第1輪!$F$2:$F$41,MATCH(A25,第1輪!$B$2:$B$41,0))="","",INDEX(第1輪!$F$2:$F$41,MATCH(A25,第1輪!$B$2:$B$41,0))),"")</f>
        <v/>
      </c>
      <c r="C25">
        <f>IFERROR(IF(INDEX(第2輪!$F$2:$F$41,MATCH(A25,第2輪!$B$2:$B$41,0))="","",INDEX(第2輪!$F$2:$F$41,MATCH(A25,第2輪!$B$2:$B$41,0))),"")</f>
        <v/>
      </c>
      <c r="D25">
        <f>IF(OR(B25="",C25=""),"",IF(B25=C25,1,0))</f>
        <v/>
      </c>
      <c r="E25">
        <f>IFERROR(INDEX(標準答案!$B$2:$B$41,MATCH(A25,標準答案!$A$2:$A$41,0)),"")</f>
        <v/>
      </c>
      <c r="F25">
        <f>IF(B25="","",IF(B25=E25,1,0))</f>
        <v/>
      </c>
      <c r="G25">
        <f>IF(C25="","",IF(C25=E25,1,0))</f>
        <v/>
      </c>
    </row>
    <row r="26">
      <c r="A26" t="inlineStr">
        <is>
          <t>S25</t>
        </is>
      </c>
      <c r="B26">
        <f>IFERROR(IF(INDEX(第1輪!$F$2:$F$41,MATCH(A26,第1輪!$B$2:$B$41,0))="","",INDEX(第1輪!$F$2:$F$41,MATCH(A26,第1輪!$B$2:$B$41,0))),"")</f>
        <v/>
      </c>
      <c r="C26">
        <f>IFERROR(IF(INDEX(第2輪!$F$2:$F$41,MATCH(A26,第2輪!$B$2:$B$41,0))="","",INDEX(第2輪!$F$2:$F$41,MATCH(A26,第2輪!$B$2:$B$41,0))),"")</f>
        <v/>
      </c>
      <c r="D26">
        <f>IF(OR(B26="",C26=""),"",IF(B26=C26,1,0))</f>
        <v/>
      </c>
      <c r="E26">
        <f>IFERROR(INDEX(標準答案!$B$2:$B$41,MATCH(A26,標準答案!$A$2:$A$41,0)),"")</f>
        <v/>
      </c>
      <c r="F26">
        <f>IF(B26="","",IF(B26=E26,1,0))</f>
        <v/>
      </c>
      <c r="G26">
        <f>IF(C26="","",IF(C26=E26,1,0))</f>
        <v/>
      </c>
    </row>
    <row r="27">
      <c r="A27" t="inlineStr">
        <is>
          <t>S26</t>
        </is>
      </c>
      <c r="B27">
        <f>IFERROR(IF(INDEX(第1輪!$F$2:$F$41,MATCH(A27,第1輪!$B$2:$B$41,0))="","",INDEX(第1輪!$F$2:$F$41,MATCH(A27,第1輪!$B$2:$B$41,0))),"")</f>
        <v/>
      </c>
      <c r="C27">
        <f>IFERROR(IF(INDEX(第2輪!$F$2:$F$41,MATCH(A27,第2輪!$B$2:$B$41,0))="","",INDEX(第2輪!$F$2:$F$41,MATCH(A27,第2輪!$B$2:$B$41,0))),"")</f>
        <v/>
      </c>
      <c r="D27">
        <f>IF(OR(B27="",C27=""),"",IF(B27=C27,1,0))</f>
        <v/>
      </c>
      <c r="E27">
        <f>IFERROR(INDEX(標準答案!$B$2:$B$41,MATCH(A27,標準答案!$A$2:$A$41,0)),"")</f>
        <v/>
      </c>
      <c r="F27">
        <f>IF(B27="","",IF(B27=E27,1,0))</f>
        <v/>
      </c>
      <c r="G27">
        <f>IF(C27="","",IF(C27=E27,1,0))</f>
        <v/>
      </c>
    </row>
    <row r="28">
      <c r="A28" t="inlineStr">
        <is>
          <t>S27</t>
        </is>
      </c>
      <c r="B28">
        <f>IFERROR(IF(INDEX(第1輪!$F$2:$F$41,MATCH(A28,第1輪!$B$2:$B$41,0))="","",INDEX(第1輪!$F$2:$F$41,MATCH(A28,第1輪!$B$2:$B$41,0))),"")</f>
        <v/>
      </c>
      <c r="C28">
        <f>IFERROR(IF(INDEX(第2輪!$F$2:$F$41,MATCH(A28,第2輪!$B$2:$B$41,0))="","",INDEX(第2輪!$F$2:$F$41,MATCH(A28,第2輪!$B$2:$B$41,0))),"")</f>
        <v/>
      </c>
      <c r="D28">
        <f>IF(OR(B28="",C28=""),"",IF(B28=C28,1,0))</f>
        <v/>
      </c>
      <c r="E28">
        <f>IFERROR(INDEX(標準答案!$B$2:$B$41,MATCH(A28,標準答案!$A$2:$A$41,0)),"")</f>
        <v/>
      </c>
      <c r="F28">
        <f>IF(B28="","",IF(B28=E28,1,0))</f>
        <v/>
      </c>
      <c r="G28">
        <f>IF(C28="","",IF(C28=E28,1,0))</f>
        <v/>
      </c>
    </row>
    <row r="29">
      <c r="A29" t="inlineStr">
        <is>
          <t>S28</t>
        </is>
      </c>
      <c r="B29">
        <f>IFERROR(IF(INDEX(第1輪!$F$2:$F$41,MATCH(A29,第1輪!$B$2:$B$41,0))="","",INDEX(第1輪!$F$2:$F$41,MATCH(A29,第1輪!$B$2:$B$41,0))),"")</f>
        <v/>
      </c>
      <c r="C29">
        <f>IFERROR(IF(INDEX(第2輪!$F$2:$F$41,MATCH(A29,第2輪!$B$2:$B$41,0))="","",INDEX(第2輪!$F$2:$F$41,MATCH(A29,第2輪!$B$2:$B$41,0))),"")</f>
        <v/>
      </c>
      <c r="D29">
        <f>IF(OR(B29="",C29=""),"",IF(B29=C29,1,0))</f>
        <v/>
      </c>
      <c r="E29">
        <f>IFERROR(INDEX(標準答案!$B$2:$B$41,MATCH(A29,標準答案!$A$2:$A$41,0)),"")</f>
        <v/>
      </c>
      <c r="F29">
        <f>IF(B29="","",IF(B29=E29,1,0))</f>
        <v/>
      </c>
      <c r="G29">
        <f>IF(C29="","",IF(C29=E29,1,0))</f>
        <v/>
      </c>
    </row>
    <row r="30">
      <c r="A30" t="inlineStr">
        <is>
          <t>S29</t>
        </is>
      </c>
      <c r="B30">
        <f>IFERROR(IF(INDEX(第1輪!$F$2:$F$41,MATCH(A30,第1輪!$B$2:$B$41,0))="","",INDEX(第1輪!$F$2:$F$41,MATCH(A30,第1輪!$B$2:$B$41,0))),"")</f>
        <v/>
      </c>
      <c r="C30">
        <f>IFERROR(IF(INDEX(第2輪!$F$2:$F$41,MATCH(A30,第2輪!$B$2:$B$41,0))="","",INDEX(第2輪!$F$2:$F$41,MATCH(A30,第2輪!$B$2:$B$41,0))),"")</f>
        <v/>
      </c>
      <c r="D30">
        <f>IF(OR(B30="",C30=""),"",IF(B30=C30,1,0))</f>
        <v/>
      </c>
      <c r="E30">
        <f>IFERROR(INDEX(標準答案!$B$2:$B$41,MATCH(A30,標準答案!$A$2:$A$41,0)),"")</f>
        <v/>
      </c>
      <c r="F30">
        <f>IF(B30="","",IF(B30=E30,1,0))</f>
        <v/>
      </c>
      <c r="G30">
        <f>IF(C30="","",IF(C30=E30,1,0))</f>
        <v/>
      </c>
    </row>
    <row r="31">
      <c r="A31" t="inlineStr">
        <is>
          <t>S30</t>
        </is>
      </c>
      <c r="B31">
        <f>IFERROR(IF(INDEX(第1輪!$F$2:$F$41,MATCH(A31,第1輪!$B$2:$B$41,0))="","",INDEX(第1輪!$F$2:$F$41,MATCH(A31,第1輪!$B$2:$B$41,0))),"")</f>
        <v/>
      </c>
      <c r="C31">
        <f>IFERROR(IF(INDEX(第2輪!$F$2:$F$41,MATCH(A31,第2輪!$B$2:$B$41,0))="","",INDEX(第2輪!$F$2:$F$41,MATCH(A31,第2輪!$B$2:$B$41,0))),"")</f>
        <v/>
      </c>
      <c r="D31">
        <f>IF(OR(B31="",C31=""),"",IF(B31=C31,1,0))</f>
        <v/>
      </c>
      <c r="E31">
        <f>IFERROR(INDEX(標準答案!$B$2:$B$41,MATCH(A31,標準答案!$A$2:$A$41,0)),"")</f>
        <v/>
      </c>
      <c r="F31">
        <f>IF(B31="","",IF(B31=E31,1,0))</f>
        <v/>
      </c>
      <c r="G31">
        <f>IF(C31="","",IF(C31=E31,1,0))</f>
        <v/>
      </c>
    </row>
    <row r="32">
      <c r="A32" t="inlineStr">
        <is>
          <t>S31</t>
        </is>
      </c>
      <c r="B32">
        <f>IFERROR(IF(INDEX(第1輪!$F$2:$F$41,MATCH(A32,第1輪!$B$2:$B$41,0))="","",INDEX(第1輪!$F$2:$F$41,MATCH(A32,第1輪!$B$2:$B$41,0))),"")</f>
        <v/>
      </c>
      <c r="C32">
        <f>IFERROR(IF(INDEX(第2輪!$F$2:$F$41,MATCH(A32,第2輪!$B$2:$B$41,0))="","",INDEX(第2輪!$F$2:$F$41,MATCH(A32,第2輪!$B$2:$B$41,0))),"")</f>
        <v/>
      </c>
      <c r="D32">
        <f>IF(OR(B32="",C32=""),"",IF(B32=C32,1,0))</f>
        <v/>
      </c>
      <c r="E32">
        <f>IFERROR(INDEX(標準答案!$B$2:$B$41,MATCH(A32,標準答案!$A$2:$A$41,0)),"")</f>
        <v/>
      </c>
      <c r="F32">
        <f>IF(B32="","",IF(B32=E32,1,0))</f>
        <v/>
      </c>
      <c r="G32">
        <f>IF(C32="","",IF(C32=E32,1,0))</f>
        <v/>
      </c>
    </row>
    <row r="33">
      <c r="A33" t="inlineStr">
        <is>
          <t>S32</t>
        </is>
      </c>
      <c r="B33">
        <f>IFERROR(IF(INDEX(第1輪!$F$2:$F$41,MATCH(A33,第1輪!$B$2:$B$41,0))="","",INDEX(第1輪!$F$2:$F$41,MATCH(A33,第1輪!$B$2:$B$41,0))),"")</f>
        <v/>
      </c>
      <c r="C33">
        <f>IFERROR(IF(INDEX(第2輪!$F$2:$F$41,MATCH(A33,第2輪!$B$2:$B$41,0))="","",INDEX(第2輪!$F$2:$F$41,MATCH(A33,第2輪!$B$2:$B$41,0))),"")</f>
        <v/>
      </c>
      <c r="D33">
        <f>IF(OR(B33="",C33=""),"",IF(B33=C33,1,0))</f>
        <v/>
      </c>
      <c r="E33">
        <f>IFERROR(INDEX(標準答案!$B$2:$B$41,MATCH(A33,標準答案!$A$2:$A$41,0)),"")</f>
        <v/>
      </c>
      <c r="F33">
        <f>IF(B33="","",IF(B33=E33,1,0))</f>
        <v/>
      </c>
      <c r="G33">
        <f>IF(C33="","",IF(C33=E33,1,0))</f>
        <v/>
      </c>
    </row>
    <row r="34">
      <c r="A34" t="inlineStr">
        <is>
          <t>S33</t>
        </is>
      </c>
      <c r="B34">
        <f>IFERROR(IF(INDEX(第1輪!$F$2:$F$41,MATCH(A34,第1輪!$B$2:$B$41,0))="","",INDEX(第1輪!$F$2:$F$41,MATCH(A34,第1輪!$B$2:$B$41,0))),"")</f>
        <v/>
      </c>
      <c r="C34">
        <f>IFERROR(IF(INDEX(第2輪!$F$2:$F$41,MATCH(A34,第2輪!$B$2:$B$41,0))="","",INDEX(第2輪!$F$2:$F$41,MATCH(A34,第2輪!$B$2:$B$41,0))),"")</f>
        <v/>
      </c>
      <c r="D34">
        <f>IF(OR(B34="",C34=""),"",IF(B34=C34,1,0))</f>
        <v/>
      </c>
      <c r="E34">
        <f>IFERROR(INDEX(標準答案!$B$2:$B$41,MATCH(A34,標準答案!$A$2:$A$41,0)),"")</f>
        <v/>
      </c>
      <c r="F34">
        <f>IF(B34="","",IF(B34=E34,1,0))</f>
        <v/>
      </c>
      <c r="G34">
        <f>IF(C34="","",IF(C34=E34,1,0))</f>
        <v/>
      </c>
    </row>
    <row r="35">
      <c r="A35" t="inlineStr">
        <is>
          <t>S34</t>
        </is>
      </c>
      <c r="B35">
        <f>IFERROR(IF(INDEX(第1輪!$F$2:$F$41,MATCH(A35,第1輪!$B$2:$B$41,0))="","",INDEX(第1輪!$F$2:$F$41,MATCH(A35,第1輪!$B$2:$B$41,0))),"")</f>
        <v/>
      </c>
      <c r="C35">
        <f>IFERROR(IF(INDEX(第2輪!$F$2:$F$41,MATCH(A35,第2輪!$B$2:$B$41,0))="","",INDEX(第2輪!$F$2:$F$41,MATCH(A35,第2輪!$B$2:$B$41,0))),"")</f>
        <v/>
      </c>
      <c r="D35">
        <f>IF(OR(B35="",C35=""),"",IF(B35=C35,1,0))</f>
        <v/>
      </c>
      <c r="E35">
        <f>IFERROR(INDEX(標準答案!$B$2:$B$41,MATCH(A35,標準答案!$A$2:$A$41,0)),"")</f>
        <v/>
      </c>
      <c r="F35">
        <f>IF(B35="","",IF(B35=E35,1,0))</f>
        <v/>
      </c>
      <c r="G35">
        <f>IF(C35="","",IF(C35=E35,1,0))</f>
        <v/>
      </c>
    </row>
    <row r="36">
      <c r="A36" t="inlineStr">
        <is>
          <t>S35</t>
        </is>
      </c>
      <c r="B36">
        <f>IFERROR(IF(INDEX(第1輪!$F$2:$F$41,MATCH(A36,第1輪!$B$2:$B$41,0))="","",INDEX(第1輪!$F$2:$F$41,MATCH(A36,第1輪!$B$2:$B$41,0))),"")</f>
        <v/>
      </c>
      <c r="C36">
        <f>IFERROR(IF(INDEX(第2輪!$F$2:$F$41,MATCH(A36,第2輪!$B$2:$B$41,0))="","",INDEX(第2輪!$F$2:$F$41,MATCH(A36,第2輪!$B$2:$B$41,0))),"")</f>
        <v/>
      </c>
      <c r="D36">
        <f>IF(OR(B36="",C36=""),"",IF(B36=C36,1,0))</f>
        <v/>
      </c>
      <c r="E36">
        <f>IFERROR(INDEX(標準答案!$B$2:$B$41,MATCH(A36,標準答案!$A$2:$A$41,0)),"")</f>
        <v/>
      </c>
      <c r="F36">
        <f>IF(B36="","",IF(B36=E36,1,0))</f>
        <v/>
      </c>
      <c r="G36">
        <f>IF(C36="","",IF(C36=E36,1,0))</f>
        <v/>
      </c>
    </row>
    <row r="37">
      <c r="A37" t="inlineStr">
        <is>
          <t>S36</t>
        </is>
      </c>
      <c r="B37">
        <f>IFERROR(IF(INDEX(第1輪!$F$2:$F$41,MATCH(A37,第1輪!$B$2:$B$41,0))="","",INDEX(第1輪!$F$2:$F$41,MATCH(A37,第1輪!$B$2:$B$41,0))),"")</f>
        <v/>
      </c>
      <c r="C37">
        <f>IFERROR(IF(INDEX(第2輪!$F$2:$F$41,MATCH(A37,第2輪!$B$2:$B$41,0))="","",INDEX(第2輪!$F$2:$F$41,MATCH(A37,第2輪!$B$2:$B$41,0))),"")</f>
        <v/>
      </c>
      <c r="D37">
        <f>IF(OR(B37="",C37=""),"",IF(B37=C37,1,0))</f>
        <v/>
      </c>
      <c r="E37">
        <f>IFERROR(INDEX(標準答案!$B$2:$B$41,MATCH(A37,標準答案!$A$2:$A$41,0)),"")</f>
        <v/>
      </c>
      <c r="F37">
        <f>IF(B37="","",IF(B37=E37,1,0))</f>
        <v/>
      </c>
      <c r="G37">
        <f>IF(C37="","",IF(C37=E37,1,0))</f>
        <v/>
      </c>
    </row>
    <row r="38">
      <c r="A38" t="inlineStr">
        <is>
          <t>S37</t>
        </is>
      </c>
      <c r="B38">
        <f>IFERROR(IF(INDEX(第1輪!$F$2:$F$41,MATCH(A38,第1輪!$B$2:$B$41,0))="","",INDEX(第1輪!$F$2:$F$41,MATCH(A38,第1輪!$B$2:$B$41,0))),"")</f>
        <v/>
      </c>
      <c r="C38">
        <f>IFERROR(IF(INDEX(第2輪!$F$2:$F$41,MATCH(A38,第2輪!$B$2:$B$41,0))="","",INDEX(第2輪!$F$2:$F$41,MATCH(A38,第2輪!$B$2:$B$41,0))),"")</f>
        <v/>
      </c>
      <c r="D38">
        <f>IF(OR(B38="",C38=""),"",IF(B38=C38,1,0))</f>
        <v/>
      </c>
      <c r="E38">
        <f>IFERROR(INDEX(標準答案!$B$2:$B$41,MATCH(A38,標準答案!$A$2:$A$41,0)),"")</f>
        <v/>
      </c>
      <c r="F38">
        <f>IF(B38="","",IF(B38=E38,1,0))</f>
        <v/>
      </c>
      <c r="G38">
        <f>IF(C38="","",IF(C38=E38,1,0))</f>
        <v/>
      </c>
    </row>
    <row r="39">
      <c r="A39" t="inlineStr">
        <is>
          <t>S38</t>
        </is>
      </c>
      <c r="B39">
        <f>IFERROR(IF(INDEX(第1輪!$F$2:$F$41,MATCH(A39,第1輪!$B$2:$B$41,0))="","",INDEX(第1輪!$F$2:$F$41,MATCH(A39,第1輪!$B$2:$B$41,0))),"")</f>
        <v/>
      </c>
      <c r="C39">
        <f>IFERROR(IF(INDEX(第2輪!$F$2:$F$41,MATCH(A39,第2輪!$B$2:$B$41,0))="","",INDEX(第2輪!$F$2:$F$41,MATCH(A39,第2輪!$B$2:$B$41,0))),"")</f>
        <v/>
      </c>
      <c r="D39">
        <f>IF(OR(B39="",C39=""),"",IF(B39=C39,1,0))</f>
        <v/>
      </c>
      <c r="E39">
        <f>IFERROR(INDEX(標準答案!$B$2:$B$41,MATCH(A39,標準答案!$A$2:$A$41,0)),"")</f>
        <v/>
      </c>
      <c r="F39">
        <f>IF(B39="","",IF(B39=E39,1,0))</f>
        <v/>
      </c>
      <c r="G39">
        <f>IF(C39="","",IF(C39=E39,1,0))</f>
        <v/>
      </c>
    </row>
    <row r="40">
      <c r="A40" t="inlineStr">
        <is>
          <t>S39</t>
        </is>
      </c>
      <c r="B40">
        <f>IFERROR(IF(INDEX(第1輪!$F$2:$F$41,MATCH(A40,第1輪!$B$2:$B$41,0))="","",INDEX(第1輪!$F$2:$F$41,MATCH(A40,第1輪!$B$2:$B$41,0))),"")</f>
        <v/>
      </c>
      <c r="C40">
        <f>IFERROR(IF(INDEX(第2輪!$F$2:$F$41,MATCH(A40,第2輪!$B$2:$B$41,0))="","",INDEX(第2輪!$F$2:$F$41,MATCH(A40,第2輪!$B$2:$B$41,0))),"")</f>
        <v/>
      </c>
      <c r="D40">
        <f>IF(OR(B40="",C40=""),"",IF(B40=C40,1,0))</f>
        <v/>
      </c>
      <c r="E40">
        <f>IFERROR(INDEX(標準答案!$B$2:$B$41,MATCH(A40,標準答案!$A$2:$A$41,0)),"")</f>
        <v/>
      </c>
      <c r="F40">
        <f>IF(B40="","",IF(B40=E40,1,0))</f>
        <v/>
      </c>
      <c r="G40">
        <f>IF(C40="","",IF(C40=E40,1,0))</f>
        <v/>
      </c>
    </row>
    <row r="41">
      <c r="A41" t="inlineStr">
        <is>
          <t>S40</t>
        </is>
      </c>
      <c r="B41">
        <f>IFERROR(IF(INDEX(第1輪!$F$2:$F$41,MATCH(A41,第1輪!$B$2:$B$41,0))="","",INDEX(第1輪!$F$2:$F$41,MATCH(A41,第1輪!$B$2:$B$41,0))),"")</f>
        <v/>
      </c>
      <c r="C41">
        <f>IFERROR(IF(INDEX(第2輪!$F$2:$F$41,MATCH(A41,第2輪!$B$2:$B$41,0))="","",INDEX(第2輪!$F$2:$F$41,MATCH(A41,第2輪!$B$2:$B$41,0))),"")</f>
        <v/>
      </c>
      <c r="D41">
        <f>IF(OR(B41="",C41=""),"",IF(B41=C41,1,0))</f>
        <v/>
      </c>
      <c r="E41">
        <f>IFERROR(INDEX(標準答案!$B$2:$B$41,MATCH(A41,標準答案!$A$2:$A$41,0)),"")</f>
        <v/>
      </c>
      <c r="F41">
        <f>IF(B41="","",IF(B41=E41,1,0))</f>
        <v/>
      </c>
      <c r="G41">
        <f>IF(C41="","",IF(C41=E41,1,0))</f>
        <v/>
      </c>
    </row>
    <row r="43">
      <c r="A43" s="4" t="inlineStr">
        <is>
          <t>兩輪皆已填的樣本數</t>
        </is>
      </c>
      <c r="D43" s="5">
        <f>COUNT(D2:D41)</f>
        <v/>
      </c>
    </row>
    <row r="44">
      <c r="A44" s="4" t="inlineStr">
        <is>
          <t>重複性（兩輪判定一致比例）</t>
        </is>
      </c>
      <c r="D44" s="6">
        <f>IF(COUNT(D2:D41)=0,"",SUM(D2:D41)/COUNT(D2:D41))</f>
        <v/>
      </c>
    </row>
    <row r="45">
      <c r="A45" s="4" t="inlineStr">
        <is>
          <t>對標準答案一致率（第1輪）</t>
        </is>
      </c>
      <c r="D45" s="6">
        <f>IF(COUNT(F2:F41)=0,"",SUM(F2:F41)/COUNT(F2:F41))</f>
        <v/>
      </c>
    </row>
    <row r="46">
      <c r="A46" s="4" t="inlineStr">
        <is>
          <t>對標準答案一致率（第2輪）</t>
        </is>
      </c>
      <c r="D46" s="6">
        <f>IF(COUNT(G2:G41)=0,"",SUM(G2:G41)/COUNT(G2:G41))</f>
        <v/>
      </c>
    </row>
    <row r="47">
      <c r="A47" s="4" t="inlineStr">
        <is>
          <t>漏判率（標準答案 Fail 被判 Pass，兩輪合計）</t>
        </is>
      </c>
      <c r="D47" s="6">
        <f>IF(COUNTIFS(E2:E41,"Fail",B2:B41,"?*")+COUNTIFS(E2:E41,"Fail",C2:C41,"?*")=0,"",(COUNTIFS(E2:E41,"Fail",B2:B41,"Pass")+COUNTIFS(E2:E41,"Fail",C2:C41,"Pass"))/(COUNTIFS(E2:E41,"Fail",B2:B41,"?*")+COUNTIFS(E2:E41,"Fail",C2:C41,"?*")))</f>
        <v/>
      </c>
    </row>
    <row r="48">
      <c r="A48" s="4" t="inlineStr">
        <is>
          <t>誤判率（標準答案 Pass 被判 Fail，兩輪合計）</t>
        </is>
      </c>
      <c r="D48" s="6">
        <f>IF(COUNTIFS(E2:E41,"Pass",B2:B41,"?*")+COUNTIFS(E2:E41,"Pass",C2:C41,"?*")=0,"",(COUNTIFS(E2:E41,"Pass",B2:B41,"Fail")+COUNTIFS(E2:E41,"Pass",C2:C41,"Fail"))/(COUNTIFS(E2:E41,"Pass",B2:B41,"?*")+COUNTIFS(E2:E41,"Pass",C2:C41,"?*")))</f>
        <v/>
      </c>
    </row>
    <row r="49">
      <c r="A49" s="4" t="inlineStr">
        <is>
          <t>人工複判率（判 Warning 比例，兩輪合計）</t>
        </is>
      </c>
      <c r="D49" s="6">
        <f>IF(COUNTIF(B2:B41,"?*")+COUNTIF(C2:C41,"?*")=0,"",(COUNTIF(B2:B41,"Warning")+COUNTIF(C2:C41,"Warning"))/(COUNTIF(B2:B41,"?*")+COUNTIF(C2:C41,"?*")))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2026-10-05T05:07:20Z</dcterms:created>
  <dcterms:modified xsi:type="dcterms:W3CDTF">2026-10-05T05:07:20Z</dcterms:modified>
</cp:coreProperties>
</file>