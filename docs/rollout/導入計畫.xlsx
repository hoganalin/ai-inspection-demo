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專案章程" sheetId="2" state="visible" r:id="rId2"/>
    <sheet name="時程表" sheetId="3" state="visible" r:id="rId3"/>
    <sheet name="RACI" sheetId="4" state="visible" r:id="rId4"/>
    <sheet name="風險清單" sheetId="5" state="visible" r:id="rId5"/>
    <sheet name="週會追蹤表" sheetId="6" state="visible" r:id="rId6"/>
  </sheets>
  <definedNames>
    <definedName name="_xlnm._FilterDatabase" localSheetId="2" hidden="1">'時程表'!$A$4:$K$41</definedName>
    <definedName name="_xlnm.Print_Titles" localSheetId="2">'時程表'!$3:$4</definedName>
    <definedName name="_xlnm.Print_Titles" localSheetId="3">'RACI'!$4:$4</definedName>
    <definedName name="_xlnm._FilterDatabase" localSheetId="4" hidden="1">'風險清單'!$A$4:$M$19</definedName>
    <definedName name="_xlnm.Print_Titles" localSheetId="4">'風險清單'!$4:$4</definedName>
    <definedName name="_xlnm._FilterDatabase" localSheetId="5" hidden="1">'週會追蹤表'!$A$8:$K$33</definedName>
    <definedName name="_xlnm.Print_Titles" localSheetId="5">'週會追蹤表'!$8:$8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"/>
    <numFmt numFmtId="166" formatCode="&quot;W&quot;0"/>
    <numFmt numFmtId="167" formatCode="&quot;週會日期：&quot;yyyy-mm-dd"/>
  </numFmts>
  <fonts count="31">
    <font>
      <name val="Calibri"/>
      <family val="2"/>
      <color theme="1"/>
      <sz val="11"/>
      <scheme val="minor"/>
    </font>
    <font>
      <name val="微軟正黑體"/>
      <b val="1"/>
      <color rgb="001F3864"/>
      <sz val="20"/>
    </font>
    <font>
      <name val="微軟正黑體"/>
      <b val="1"/>
      <color rgb="00404040"/>
      <sz val="14"/>
    </font>
    <font>
      <name val="微軟正黑體"/>
      <b val="1"/>
      <color rgb="009C0006"/>
      <sz val="10.5"/>
    </font>
    <font>
      <name val="微軟正黑體"/>
      <b val="1"/>
      <color rgb="00FFFFFF"/>
      <sz val="10"/>
    </font>
    <font>
      <name val="微軟正黑體"/>
      <b val="1"/>
      <sz val="10"/>
    </font>
    <font>
      <name val="微軟正黑體"/>
      <sz val="10"/>
    </font>
    <font>
      <name val="微軟正黑體"/>
      <b val="1"/>
      <color rgb="000563C1"/>
      <sz val="10"/>
    </font>
    <font>
      <name val="微軟正黑體"/>
      <b val="1"/>
      <color rgb="000563C1"/>
      <sz val="10"/>
      <u val="single"/>
    </font>
    <font>
      <name val="微軟正黑體"/>
      <b val="1"/>
      <color rgb="001F3864"/>
      <sz val="16"/>
    </font>
    <font>
      <name val="微軟正黑體"/>
      <i val="1"/>
      <color rgb="007F7F7F"/>
      <sz val="9"/>
    </font>
    <font>
      <name val="微軟正黑體"/>
      <b val="1"/>
      <color rgb="00FFFFFF"/>
      <sz val="12"/>
    </font>
    <font>
      <name val="微軟正黑體"/>
      <b val="1"/>
      <color rgb="00006100"/>
      <sz val="10"/>
    </font>
    <font>
      <name val="微軟正黑體"/>
      <b val="1"/>
      <color rgb="009C0006"/>
      <sz val="10"/>
    </font>
    <font>
      <name val="微軟正黑體"/>
      <b val="1"/>
      <color rgb="009C0006"/>
      <sz val="9.5"/>
    </font>
    <font>
      <name val="微軟正黑體"/>
      <color rgb="00404040"/>
      <sz val="9.5"/>
    </font>
    <font>
      <name val="微軟正黑體"/>
      <b val="1"/>
      <color rgb="000000FF"/>
      <sz val="10"/>
    </font>
    <font>
      <name val="微軟正黑體"/>
      <b val="1"/>
      <sz val="9"/>
    </font>
    <font>
      <name val="微軟正黑體"/>
      <b val="1"/>
      <color rgb="00FFFFFF"/>
      <sz val="9"/>
    </font>
    <font>
      <name val="微軟正黑體"/>
      <b val="1"/>
      <color rgb="00FFFFFF"/>
    </font>
    <font>
      <name val="微軟正黑體"/>
      <color rgb="00FFFFFF"/>
      <sz val="8"/>
    </font>
    <font>
      <name val="微軟正黑體"/>
      <b val="1"/>
      <color rgb="00FFFFFF"/>
      <sz val="8"/>
    </font>
    <font>
      <name val="微軟正黑體"/>
      <b val="1"/>
      <color rgb="00C00000"/>
      <sz val="8"/>
    </font>
    <font>
      <name val="微軟正黑體"/>
      <b val="1"/>
      <color rgb="001F3864"/>
      <sz val="10"/>
    </font>
    <font>
      <name val="微軟正黑體"/>
      <color rgb="000000FF"/>
      <sz val="10"/>
    </font>
    <font>
      <name val="微軟正黑體"/>
      <b val="1"/>
      <color rgb="00C00000"/>
      <sz val="10"/>
    </font>
    <font>
      <name val="微軟正黑體"/>
      <b val="1"/>
      <color rgb="009C5700"/>
      <sz val="10"/>
    </font>
    <font>
      <name val="微軟正黑體"/>
      <b val="1"/>
      <color rgb="00404040"/>
      <sz val="9"/>
    </font>
    <font>
      <name val="微軟正黑體"/>
      <color rgb="00404040"/>
      <sz val="9"/>
    </font>
    <font>
      <name val="微軟正黑體"/>
      <b val="1"/>
      <color rgb="001F3864"/>
      <sz val="11"/>
    </font>
    <font>
      <name val="微軟正黑體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2F5597"/>
        <bgColor rgb="002F5597"/>
      </patternFill>
    </fill>
    <fill>
      <patternFill patternType="solid">
        <fgColor rgb="00FFEB9C"/>
        <bgColor rgb="00FFEB9C"/>
      </patternFill>
    </fill>
  </fills>
  <borders count="17">
    <border>
      <left/>
      <right/>
      <top/>
      <bottom/>
      <diagonal/>
    </border>
    <border>
      <left style="medium">
        <color rgb="00BF8F00"/>
      </left>
      <top style="medium">
        <color rgb="00BF8F00"/>
      </top>
    </border>
    <border>
      <top style="medium">
        <color rgb="00BF8F00"/>
      </top>
    </border>
    <border>
      <right style="medium">
        <color rgb="00BF8F00"/>
      </right>
      <top style="medium">
        <color rgb="00BF8F00"/>
      </top>
    </border>
    <border>
      <left style="medium">
        <color rgb="00BF8F00"/>
      </left>
    </border>
    <border/>
    <border>
      <right style="medium">
        <color rgb="00BF8F00"/>
      </right>
    </border>
    <border>
      <left style="medium">
        <color rgb="00BF8F00"/>
      </left>
      <bottom style="medium">
        <color rgb="00BF8F00"/>
      </bottom>
    </border>
    <border>
      <bottom style="medium">
        <color rgb="00BF8F00"/>
      </bottom>
    </border>
    <border>
      <right style="medium">
        <color rgb="00BF8F00"/>
      </right>
      <bottom style="medium">
        <color rgb="00BF8F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/>
      <right style="thin">
        <color rgb="00A6A6A6"/>
      </right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0" fillId="0" borderId="2" pivotButton="0" quotePrefix="0" xfId="0"/>
    <xf numFmtId="0" fontId="30" fillId="0" borderId="3" pivotButton="0" quotePrefix="0" xfId="0"/>
    <xf numFmtId="0" fontId="30" fillId="0" borderId="4" pivotButton="0" quotePrefix="0" xfId="0"/>
    <xf numFmtId="0" fontId="30" fillId="0" borderId="5" pivotButton="0" quotePrefix="0" xfId="0"/>
    <xf numFmtId="0" fontId="30" fillId="0" borderId="6" pivotButton="0" quotePrefix="0" xfId="0"/>
    <xf numFmtId="0" fontId="30" fillId="0" borderId="7" pivotButton="0" quotePrefix="0" xfId="0"/>
    <xf numFmtId="0" fontId="30" fillId="0" borderId="8" pivotButton="0" quotePrefix="0" xfId="0"/>
    <xf numFmtId="0" fontId="30" fillId="0" borderId="9" pivotButton="0" quotePrefix="0" xfId="0"/>
    <xf numFmtId="0" fontId="4" fillId="3" borderId="10" applyAlignment="1" pivotButton="0" quotePrefix="0" xfId="0">
      <alignment horizontal="center" vertical="center" wrapText="1"/>
    </xf>
    <xf numFmtId="0" fontId="5" fillId="4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164" fontId="6" fillId="0" borderId="10" applyAlignment="1" pivotButton="0" quotePrefix="0" xfId="0">
      <alignment horizontal="left" vertical="center"/>
    </xf>
    <xf numFmtId="0" fontId="5" fillId="5" borderId="10" applyAlignment="1" pivotButton="0" quotePrefix="0" xfId="0">
      <alignment vertical="center" wrapText="1"/>
    </xf>
    <xf numFmtId="0" fontId="5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vertical="center" wrapText="1"/>
    </xf>
    <xf numFmtId="0" fontId="5" fillId="7" borderId="10" applyAlignment="1" pivotButton="0" quotePrefix="0" xfId="0">
      <alignment horizontal="center" vertical="center" wrapText="1"/>
    </xf>
    <xf numFmtId="0" fontId="5" fillId="8" borderId="10" applyAlignment="1" pivotButton="0" quotePrefix="0" xfId="0">
      <alignment vertical="center" wrapText="1"/>
    </xf>
    <xf numFmtId="0" fontId="5" fillId="9" borderId="10" applyAlignment="1" pivotButton="0" quotePrefix="0" xfId="0">
      <alignment horizontal="center" vertical="center" wrapText="1"/>
    </xf>
    <xf numFmtId="0" fontId="5" fillId="10" borderId="10" applyAlignment="1" pivotButton="0" quotePrefix="0" xfId="0">
      <alignment vertical="center" wrapText="1"/>
    </xf>
    <xf numFmtId="0" fontId="8" fillId="0" borderId="10" applyAlignment="1" pivotButton="0" quotePrefix="0" xfId="0">
      <alignment vertical="center" wrapText="1"/>
    </xf>
    <xf numFmtId="164" fontId="6" fillId="0" borderId="10" applyAlignment="1" pivotButton="0" quotePrefix="0" xfId="0">
      <alignment vertical="center" wrapText="1"/>
    </xf>
    <xf numFmtId="0" fontId="6" fillId="0" borderId="10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vertical="center"/>
    </xf>
    <xf numFmtId="0" fontId="30" fillId="3" borderId="0" pivotButton="0" quotePrefix="0" xfId="0"/>
    <xf numFmtId="0" fontId="30" fillId="0" borderId="10" pivotButton="0" quotePrefix="0" xfId="0"/>
    <xf numFmtId="0" fontId="30" fillId="0" borderId="13" pivotButton="0" quotePrefix="0" xfId="0"/>
    <xf numFmtId="0" fontId="30" fillId="0" borderId="14" pivotButton="0" quotePrefix="0" xfId="0"/>
    <xf numFmtId="0" fontId="5" fillId="0" borderId="10" applyAlignment="1" pivotButton="0" quotePrefix="0" xfId="0">
      <alignment vertical="center" wrapText="1"/>
    </xf>
    <xf numFmtId="0" fontId="12" fillId="11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13" fillId="7" borderId="1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5" fillId="0" borderId="0" pivotButton="0" quotePrefix="0" xfId="0"/>
    <xf numFmtId="164" fontId="16" fillId="2" borderId="10" applyAlignment="1" pivotButton="0" quotePrefix="0" xfId="0">
      <alignment horizontal="left"/>
    </xf>
    <xf numFmtId="0" fontId="17" fillId="0" borderId="0" applyAlignment="1" pivotButton="0" quotePrefix="0" xfId="0">
      <alignment horizontal="right"/>
    </xf>
    <xf numFmtId="0" fontId="18" fillId="12" borderId="0" applyAlignment="1" pivotButton="0" quotePrefix="0" xfId="0">
      <alignment horizontal="center" vertical="center" wrapText="1"/>
    </xf>
    <xf numFmtId="0" fontId="18" fillId="13" borderId="0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19" fillId="3" borderId="15" applyAlignment="1" pivotButton="0" quotePrefix="0" xfId="0">
      <alignment horizontal="center" vertical="center" wrapText="1"/>
    </xf>
    <xf numFmtId="165" fontId="20" fillId="17" borderId="10" applyAlignment="1" pivotButton="0" quotePrefix="0" xfId="0">
      <alignment horizontal="center" vertical="center" textRotation="90"/>
    </xf>
    <xf numFmtId="0" fontId="19" fillId="3" borderId="10" applyAlignment="1" pivotButton="0" quotePrefix="0" xfId="0">
      <alignment horizontal="center" vertical="center" wrapText="1"/>
    </xf>
    <xf numFmtId="0" fontId="30" fillId="0" borderId="15" pivotButton="0" quotePrefix="0" xfId="0"/>
    <xf numFmtId="166" fontId="21" fillId="3" borderId="10" applyAlignment="1" pivotButton="0" quotePrefix="0" xfId="0">
      <alignment horizontal="center" vertical="center" wrapText="1"/>
    </xf>
    <xf numFmtId="164" fontId="5" fillId="5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23" fillId="5" borderId="1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164" fontId="6" fillId="0" borderId="10" applyAlignment="1" pivotButton="0" quotePrefix="0" xfId="0">
      <alignment horizontal="center" vertical="center" wrapText="1"/>
    </xf>
    <xf numFmtId="0" fontId="25" fillId="0" borderId="10" applyAlignment="1" pivotButton="0" quotePrefix="0" xfId="0">
      <alignment vertical="center" wrapText="1"/>
    </xf>
    <xf numFmtId="0" fontId="25" fillId="0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164" fontId="5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26" fillId="18" borderId="10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 wrapText="1"/>
    </xf>
    <xf numFmtId="164" fontId="5" fillId="8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vertical="center" wrapText="1"/>
    </xf>
    <xf numFmtId="0" fontId="5" fillId="10" borderId="10" applyAlignment="1" pivotButton="0" quotePrefix="0" xfId="0">
      <alignment horizontal="center" vertical="center" wrapText="1"/>
    </xf>
    <xf numFmtId="164" fontId="5" fillId="10" borderId="10" applyAlignment="1" pivotButton="0" quotePrefix="0" xfId="0">
      <alignment horizontal="center" vertical="center" wrapText="1"/>
    </xf>
    <xf numFmtId="0" fontId="6" fillId="10" borderId="10" applyAlignment="1" pivotButton="0" quotePrefix="0" xfId="0">
      <alignment vertical="center" wrapText="1"/>
    </xf>
    <xf numFmtId="0" fontId="27" fillId="0" borderId="0" pivotButton="0" quotePrefix="0" xfId="0"/>
    <xf numFmtId="0" fontId="28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10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29" fillId="0" borderId="0" pivotButton="0" quotePrefix="0" xfId="0"/>
    <xf numFmtId="0" fontId="5" fillId="4" borderId="10" applyAlignment="1" pivotButton="0" quotePrefix="0" xfId="0">
      <alignment horizontal="center" vertical="center" wrapText="1"/>
    </xf>
    <xf numFmtId="0" fontId="5" fillId="11" borderId="10" applyAlignment="1" pivotButton="0" quotePrefix="0" xfId="0">
      <alignment horizontal="center" vertical="center" wrapText="1"/>
    </xf>
    <xf numFmtId="0" fontId="5" fillId="18" borderId="10" applyAlignment="1" pivotButton="0" quotePrefix="0" xfId="0">
      <alignment horizontal="center" vertical="center" wrapText="1"/>
    </xf>
    <xf numFmtId="167" fontId="16" fillId="2" borderId="10" applyAlignment="1" pivotButton="0" quotePrefix="0" xfId="0">
      <alignment horizontal="left"/>
    </xf>
  </cellXfs>
  <cellStyles count="1">
    <cellStyle name="Normal" xfId="0" builtinId="0" hidden="0"/>
  </cellStyles>
  <dxfs count="19">
    <dxf>
      <fill>
        <patternFill patternType="solid">
          <fgColor rgb="00C00000"/>
          <bgColor rgb="00C00000"/>
        </patternFill>
      </fill>
    </dxf>
    <dxf>
      <fill>
        <patternFill patternType="solid">
          <fgColor rgb="00404040"/>
          <bgColor rgb="00404040"/>
        </patternFill>
      </fill>
    </dxf>
    <dxf>
      <fill>
        <patternFill patternType="solid">
          <fgColor rgb="004472C4"/>
          <bgColor rgb="004472C4"/>
        </patternFill>
      </fill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7030A0"/>
          <bgColor rgb="007030A0"/>
        </patternFill>
      </fill>
    </dxf>
    <dxf>
      <fill>
        <patternFill patternType="solid">
          <fgColor rgb="00EDEDED"/>
          <bgColor rgb="00EDEDED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2F2F2"/>
          <bgColor rgb="00F2F2F2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808080"/>
      </font>
    </dxf>
    <dxf>
      <font>
        <b val="1"/>
        <color rgb="00C00000"/>
      </font>
    </dxf>
    <dxf>
      <font>
        <b val="1"/>
        <color rgb="00C00000"/>
        <u val="singl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3560;&#26696;&#31456;&#31243;'!A1" TargetMode="External" Id="rId1" /><Relationship Type="http://schemas.openxmlformats.org/officeDocument/2006/relationships/hyperlink" Target="#'&#26178;&#31243;&#34920;'!A1" TargetMode="External" Id="rId2" /><Relationship Type="http://schemas.openxmlformats.org/officeDocument/2006/relationships/hyperlink" Target="#'RACI'!A1" TargetMode="External" Id="rId3" /><Relationship Type="http://schemas.openxmlformats.org/officeDocument/2006/relationships/hyperlink" Target="#'&#39080;&#38570;&#28165;&#21934;'!A1" TargetMode="External" Id="rId4" /><Relationship Type="http://schemas.openxmlformats.org/officeDocument/2006/relationships/hyperlink" Target="#'&#36913;&#26371;&#36861;&#36452;&#34920;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  <col width="26" customWidth="1" min="4" max="4"/>
  </cols>
  <sheetData>
    <row r="1">
      <c r="A1" s="1" t="n"/>
      <c r="B1" s="1" t="n"/>
      <c r="C1" s="1" t="n"/>
      <c r="D1" s="1" t="n"/>
    </row>
    <row r="2" ht="34" customHeight="1">
      <c r="A2" s="1" t="n"/>
      <c r="B2" s="2" t="inlineStr">
        <is>
          <t>晶粒外觀檢查改善專案</t>
        </is>
      </c>
      <c r="C2" s="1" t="n"/>
      <c r="D2" s="1" t="n"/>
    </row>
    <row r="3" ht="24" customHeight="1">
      <c r="A3" s="1" t="n"/>
      <c r="B3" s="3" t="inlineStr">
        <is>
          <t>導入計畫（Rollout Plan）</t>
        </is>
      </c>
      <c r="C3" s="1" t="n"/>
      <c r="D3" s="1" t="n"/>
    </row>
    <row r="4">
      <c r="A4" s="1" t="n"/>
      <c r="B4" s="1" t="n"/>
      <c r="C4" s="1" t="n"/>
      <c r="D4" s="1" t="n"/>
    </row>
    <row r="5" ht="34" customHeight="1">
      <c r="A5" s="1" t="n"/>
      <c r="B5" s="4" t="inlineStr">
        <is>
          <t>⚠ 本文件為「模擬情境」之導入計畫，非實際產線導入紀錄。
・情境、數據與組織皆為假設；痛點來源為作者過去在產線看到的狀況（產線有檢驗規範，但判讀靠人眼）；人工基準線為作者本人照規範判兩輪（79 筆，真實）。
・導入階段 ② PoC 已於模擬情境以檢驗規範 v1 執行（40 張半合成影像、3 位模擬 AI 評估者）：結果「未通過」Gate ②→③（漏判率 37.0%，目標 ≤ 5%；改善後重複性 77.5%，目標 ≥ 90%）。
・規範 v2 已於作品中重跑一次（2026-10-07，同樣本、同評估者、240 筆）：漏判率 0%、重複性 92.5%、人工複判率 25.8% 達標；評估者間一致率 82.5%、誤判率 7.6% 未達，預警提早尚未以 v2 重驗 → Gate ②→③（v2）尚未通過。③ 單線試行、④ 擴線與 MES 介接仍為「規劃」。數據出處：experiment/results/msa-summary.md</t>
        </is>
      </c>
      <c r="C5" s="5" t="n"/>
      <c r="D5" s="6" t="n"/>
    </row>
    <row r="6" ht="34" customHeight="1">
      <c r="A6" s="1" t="n"/>
      <c r="B6" s="7" t="n"/>
      <c r="C6" s="8" t="n"/>
      <c r="D6" s="9" t="n"/>
    </row>
    <row r="7" ht="34" customHeight="1">
      <c r="A7" s="1" t="n"/>
      <c r="B7" s="10" t="n"/>
      <c r="C7" s="11" t="n"/>
      <c r="D7" s="12" t="n"/>
    </row>
    <row r="8">
      <c r="A8" s="1" t="n"/>
      <c r="B8" s="1" t="n"/>
      <c r="C8" s="1" t="n"/>
      <c r="D8" s="1" t="n"/>
    </row>
    <row r="9" ht="32" customHeight="1">
      <c r="A9" s="1" t="n"/>
      <c r="B9" s="13" t="inlineStr">
        <is>
          <t>文件資訊</t>
        </is>
      </c>
      <c r="C9" s="13" t="inlineStr">
        <is>
          <t>內容</t>
        </is>
      </c>
      <c r="D9" s="1" t="n"/>
    </row>
    <row r="10">
      <c r="A10" s="1" t="n"/>
      <c r="B10" s="14" t="inlineStr">
        <is>
          <t>文件編號</t>
        </is>
      </c>
      <c r="C10" s="15" t="inlineStr">
        <is>
          <t>PRJ-DVI-RP-001</t>
        </is>
      </c>
      <c r="D10" s="1" t="n"/>
    </row>
    <row r="11">
      <c r="A11" s="1" t="n"/>
      <c r="B11" s="14" t="inlineStr">
        <is>
          <t>版本</t>
        </is>
      </c>
      <c r="C11" s="15" t="inlineStr">
        <is>
          <t>v0.5（草案）</t>
        </is>
      </c>
      <c r="D11" s="1" t="n"/>
    </row>
    <row r="12">
      <c r="A12" s="1" t="n"/>
      <c r="B12" s="14" t="inlineStr">
        <is>
          <t>建立日期</t>
        </is>
      </c>
      <c r="C12" s="16" t="n">
        <v>46300</v>
      </c>
      <c r="D12" s="1" t="n"/>
    </row>
    <row r="13">
      <c r="A13" s="1" t="n"/>
      <c r="B13" s="14" t="inlineStr">
        <is>
          <t>撰寫人</t>
        </is>
      </c>
      <c r="C13" s="15" t="inlineStr">
        <is>
          <t>專案專員（作者）</t>
        </is>
      </c>
      <c r="D13" s="1" t="n"/>
    </row>
    <row r="14">
      <c r="A14" s="1" t="n"/>
      <c r="B14" s="14" t="inlineStr">
        <is>
          <t>適用站點</t>
        </is>
      </c>
      <c r="C14" s="15" t="inlineStr">
        <is>
          <t>封裝段 晶粒外觀檢查站（Die Sorter 挑揀後 AOI 複判）</t>
        </is>
      </c>
      <c r="D14" s="1" t="n"/>
    </row>
    <row r="15">
      <c r="A15" s="1" t="n"/>
      <c r="B15" s="14" t="inlineStr">
        <is>
          <t>專案期間（規劃）</t>
        </is>
      </c>
      <c r="C15" s="15" t="inlineStr">
        <is>
          <t>2026-11-02 起，共 33 週（約 7.5 個月；原 26 週，因 ② 重跑順延 7 週）</t>
        </is>
      </c>
      <c r="D15" s="1" t="n"/>
    </row>
    <row r="16">
      <c r="A16" s="1" t="n"/>
      <c r="B16" s="14" t="inlineStr">
        <is>
          <t>相關文件</t>
        </is>
      </c>
      <c r="C16" s="15" t="inlineStr">
        <is>
          <t>CONTEXT.md（用詞）、docs/spec/inspection-spec-v1.md（檢驗規範 v1）、docs/adr/0001、0002、experiment/results/msa-summary.md（一致性分析結果）</t>
        </is>
      </c>
      <c r="D16" s="1" t="n"/>
    </row>
    <row r="17">
      <c r="A17" s="1" t="n"/>
      <c r="B17" s="1" t="n"/>
      <c r="C17" s="1" t="n"/>
      <c r="D17" s="1" t="n"/>
    </row>
    <row r="18" ht="32" customHeight="1">
      <c r="A18" s="1" t="n"/>
      <c r="B18" s="13" t="inlineStr">
        <is>
          <t>導入階段</t>
        </is>
      </c>
      <c r="C18" s="13" t="inlineStr">
        <is>
          <t>內容</t>
        </is>
      </c>
      <c r="D18" s="13" t="inlineStr">
        <is>
          <t>作品執行狀態</t>
        </is>
      </c>
    </row>
    <row r="19" ht="30" customHeight="1">
      <c r="A19" s="1" t="n"/>
      <c r="B19" s="17" t="inlineStr">
        <is>
          <t>① 現況 MSA 與規範制定</t>
        </is>
      </c>
      <c r="C19" s="15" t="inlineStr">
        <is>
          <t>盤點現行人工目檢、建立標準樣本集與基準線、發行檢驗規範</t>
        </is>
      </c>
      <c r="D19" s="18" t="inlineStr">
        <is>
          <t>模擬示範（規範 v1、人工基準線：作者照規範判兩輪）</t>
        </is>
      </c>
    </row>
    <row r="20" ht="30" customHeight="1">
      <c r="A20" s="1" t="n"/>
      <c r="B20" s="19" t="inlineStr">
        <is>
          <t>② PoC 驗證</t>
        </is>
      </c>
      <c r="C20" s="15" t="inlineStr">
        <is>
          <t>AI 辨識缺陷分類＋規則推導判定；一致性分析、p 管制圖預警。v1 漏判率 37.0%（CHP 偵出率 14.8%、CRK 0%、尺寸系統偏差）→ 規範 v2 重跑：漏判率 0%、重複性 92.5%，但誤判率 7.6%</t>
        </is>
      </c>
      <c r="D20" s="20" t="inlineStr">
        <is>
          <t>v1 未通過 Gate；v2 已重跑・Gate 未通過</t>
        </is>
      </c>
    </row>
    <row r="21" ht="30" customHeight="1">
      <c r="A21" s="1" t="n"/>
      <c r="B21" s="21" t="inlineStr">
        <is>
          <t>③ 單線試行（與人工並行比對）</t>
        </is>
      </c>
      <c r="C21" s="15" t="inlineStr">
        <is>
          <t>單一產線 AI 判定與人工目檢並行，不影響放行</t>
        </is>
      </c>
      <c r="D21" s="22" t="inlineStr">
        <is>
          <t>規劃・未執行</t>
        </is>
      </c>
    </row>
    <row r="22" ht="30" customHeight="1">
      <c r="A22" s="1" t="n"/>
      <c r="B22" s="23" t="inlineStr">
        <is>
          <t>④ 擴線與 MES 介接</t>
        </is>
      </c>
      <c r="C22" s="15" t="inlineStr">
        <is>
          <t>機台差異驗證、規範文管、判定結果上拋 MES</t>
        </is>
      </c>
      <c r="D22" s="22" t="inlineStr">
        <is>
          <t>規劃・未執行</t>
        </is>
      </c>
    </row>
    <row r="23">
      <c r="A23" s="1" t="n"/>
      <c r="B23" s="1" t="n"/>
      <c r="C23" s="1" t="n"/>
      <c r="D23" s="1" t="n"/>
    </row>
    <row r="24" ht="32" customHeight="1">
      <c r="A24" s="1" t="n"/>
      <c r="B24" s="13" t="inlineStr">
        <is>
          <t>工作表</t>
        </is>
      </c>
      <c r="C24" s="13" t="inlineStr">
        <is>
          <t>用途</t>
        </is>
      </c>
      <c r="D24" s="1" t="n"/>
    </row>
    <row r="25">
      <c r="A25" s="1" t="n"/>
      <c r="B25" s="24" t="inlineStr">
        <is>
          <t>專案章程</t>
        </is>
      </c>
      <c r="C25" s="15" t="inlineStr">
        <is>
          <t>背景痛點、目標 KPI、範圍與不做什麼、主要假設、專案成員與角色</t>
        </is>
      </c>
      <c r="D25" s="1" t="n"/>
    </row>
    <row r="26">
      <c r="A26" s="1" t="n"/>
      <c r="B26" s="24" t="inlineStr">
        <is>
          <t>時程表</t>
        </is>
      </c>
      <c r="C26" s="15" t="inlineStr">
        <is>
          <t>四導入階段 WBS、前置任務、Gate 標準與週別甘特圖（條件式格式自動著色）</t>
        </is>
      </c>
      <c r="D26" s="1" t="n"/>
    </row>
    <row r="27">
      <c r="A27" s="1" t="n"/>
      <c r="B27" s="24" t="inlineStr">
        <is>
          <t>RACI</t>
        </is>
      </c>
      <c r="C27" s="15" t="inlineStr">
        <is>
          <t>各單位於關鍵活動之 R / A / C / I 分工，含每列唯一 A 檢核</t>
        </is>
      </c>
      <c r="D27" s="1" t="n"/>
    </row>
    <row r="28">
      <c r="A28" s="1" t="n"/>
      <c r="B28" s="24" t="inlineStr">
        <is>
          <t>風險清單</t>
        </is>
      </c>
      <c r="C28" s="15" t="inlineStr">
        <is>
          <t>風險值＝機率×影響（公式）、等級、觸發指標、對策與負責單位</t>
        </is>
      </c>
      <c r="D28" s="1" t="n"/>
    </row>
    <row r="29">
      <c r="A29" s="1" t="n"/>
      <c r="B29" s="24" t="inlineStr">
        <is>
          <t>週會追蹤表</t>
        </is>
      </c>
      <c r="C29" s="15" t="inlineStr">
        <is>
          <t>卡關項目、負責人、預計交付日、狀態與升級層級（下拉選單）</t>
        </is>
      </c>
      <c r="D29" s="1" t="n"/>
    </row>
    <row r="30">
      <c r="A30" s="1" t="n"/>
      <c r="B30" s="1" t="n"/>
      <c r="C30" s="1" t="n"/>
      <c r="D30" s="1" t="n"/>
    </row>
    <row r="31" ht="32" customHeight="1">
      <c r="A31" s="1" t="n"/>
      <c r="B31" s="13" t="inlineStr">
        <is>
          <t>修訂日期</t>
        </is>
      </c>
      <c r="C31" s="13" t="inlineStr">
        <is>
          <t>修訂內容</t>
        </is>
      </c>
      <c r="D31" s="13" t="inlineStr">
        <is>
          <t>版本</t>
        </is>
      </c>
    </row>
    <row r="32">
      <c r="A32" s="1" t="n"/>
      <c r="B32" s="25" t="n">
        <v>46300</v>
      </c>
      <c r="C32" s="15" t="inlineStr">
        <is>
          <t>初版：依 PoC（模擬情境）結果擬定導入計畫草案</t>
        </is>
      </c>
      <c r="D32" s="26" t="inlineStr">
        <is>
          <t>v0.1</t>
        </is>
      </c>
    </row>
    <row r="33" ht="30" customHeight="1">
      <c r="A33" s="1" t="n"/>
      <c r="B33" s="25" t="n">
        <v>46300</v>
      </c>
      <c r="C33" s="15" t="inlineStr">
        <is>
          <t>回填一致性分析（模擬）結果；② v1 未通過 Gate，新增規範 v2 修訂與 ② 重跑，③④ 順延 7 週；風險與週會追蹤表同步更新</t>
        </is>
      </c>
      <c r="D33" s="26" t="inlineStr">
        <is>
          <t>v0.2</t>
        </is>
      </c>
    </row>
    <row r="34" ht="30" customHeight="1">
      <c r="A34" s="1" t="n"/>
      <c r="B34" s="25" t="n">
        <v>46301</v>
      </c>
      <c r="C34" s="15" t="inlineStr">
        <is>
          <t>回填 v1 第 2 次判定（補跑 169 次）：改善後重複性 77.5%，未達 ≥ 90% 門檻；KPI、Gate 紀錄、風險 R01／R12 與週會追蹤表同步更新</t>
        </is>
      </c>
      <c r="D34" s="26" t="inlineStr">
        <is>
          <t>v0.3</t>
        </is>
      </c>
    </row>
    <row r="35" ht="30" customHeight="1">
      <c r="A35" s="1" t="n"/>
      <c r="B35" s="25" t="n">
        <v>46302</v>
      </c>
      <c r="C35" s="15" t="inlineStr">
        <is>
          <t>回填規範 v2 重跑結果（240 次、US$9.55）：漏判率 0%、重複性 92.5%、人工複判率 25.8% 達標；評估者間一致率 82.5%、誤判率 7.6% 未達，Gate（v2）未通過；新增 v2.1 對策</t>
        </is>
      </c>
      <c r="D35" s="26" t="inlineStr">
        <is>
          <t>v0.4</t>
        </is>
      </c>
    </row>
    <row r="36" ht="30" customHeight="1">
      <c r="A36" s="1" t="n"/>
      <c r="B36" s="25" t="n">
        <v>46303</v>
      </c>
      <c r="C36" s="15" t="inlineStr">
        <is>
          <t>定位調整：痛點改為「有規範但判讀靠人眼」；KPI 基準線改為人眼＋規範（作者本人兩輪），新增每顆判讀時間（34.9 秒 → AI 8.2 秒）；任務 1.5 改為依現行規範的人工一致性分析</t>
        </is>
      </c>
      <c r="D36" s="26" t="inlineStr">
        <is>
          <t>v0.5</t>
        </is>
      </c>
    </row>
  </sheetData>
  <mergeCells count="1">
    <mergeCell ref="B5:D7"/>
  </mergeCells>
  <hyperlinks>
    <hyperlink xmlns:r="http://schemas.openxmlformats.org/officeDocument/2006/relationships" ref="B25" r:id="rId1"/>
    <hyperlink xmlns:r="http://schemas.openxmlformats.org/officeDocument/2006/relationships" ref="B26" r:id="rId2"/>
    <hyperlink xmlns:r="http://schemas.openxmlformats.org/officeDocument/2006/relationships" ref="B27" r:id="rId3"/>
    <hyperlink xmlns:r="http://schemas.openxmlformats.org/officeDocument/2006/relationships" ref="B28" r:id="rId4"/>
    <hyperlink xmlns:r="http://schemas.openxmlformats.org/officeDocument/2006/relationships" ref="B29" r:id="rId5"/>
  </hyperlinks>
  <printOptions horizontalCentered="1"/>
  <pageMargins left="0.4" right="0.4" top="0.5" bottom="0.5" header="0.5" footer="0.5"/>
  <pageSetup orientation="landscape" paperSize="9" fitToHeight="1" fitToWidth="1"/>
  <headerFooter>
    <oddHeader/>
    <oddFooter>&amp;C&amp;A　第 &amp;P / &amp;N 頁&amp;R模擬情境・非實際導入紀錄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22" customWidth="1" min="4" max="4"/>
    <col width="30" customWidth="1" min="5" max="5"/>
    <col width="26" customWidth="1" min="6" max="6"/>
  </cols>
  <sheetData>
    <row r="1" ht="28" customHeight="1">
      <c r="A1" s="27" t="inlineStr">
        <is>
          <t>專案章程｜晶粒外觀檢查 AI 輔助判定導入</t>
        </is>
      </c>
      <c r="B1" s="1" t="n"/>
      <c r="C1" s="1" t="n"/>
      <c r="D1" s="1" t="n"/>
      <c r="E1" s="1" t="n"/>
      <c r="F1" s="1" t="n"/>
    </row>
    <row r="2">
      <c r="A2" s="28" t="inlineStr">
        <is>
          <t>模擬情境；用詞依 CONTEXT.md。KPI 實測值出自 experiment/results/msa-summary.md（40 張半合成影像、3 位模擬 AI 評估者，每條件 120 筆判定）。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22" customHeight="1">
      <c r="A4" s="29" t="inlineStr">
        <is>
          <t>1. 專案基本資料</t>
        </is>
      </c>
      <c r="B4" s="30" t="n"/>
      <c r="C4" s="30" t="n"/>
      <c r="D4" s="30" t="n"/>
      <c r="E4" s="30" t="n"/>
      <c r="F4" s="30" t="n"/>
    </row>
    <row r="5">
      <c r="A5" s="14" t="inlineStr">
        <is>
          <t>專案名稱</t>
        </is>
      </c>
      <c r="B5" s="15" t="inlineStr">
        <is>
          <t>晶粒外觀檢查改善專案（AI 輔助判定導入）</t>
        </is>
      </c>
      <c r="C5" s="31" t="n"/>
      <c r="D5" s="31" t="n"/>
      <c r="E5" s="31" t="n"/>
      <c r="F5" s="31" t="n"/>
    </row>
    <row r="6">
      <c r="A6" s="14" t="inlineStr">
        <is>
          <t>專案發起人</t>
        </is>
      </c>
      <c r="B6" s="15" t="inlineStr">
        <is>
          <t>製造處 處長（假設）</t>
        </is>
      </c>
      <c r="C6" s="31" t="n"/>
      <c r="D6" s="31" t="n"/>
      <c r="E6" s="31" t="n"/>
      <c r="F6" s="31" t="n"/>
    </row>
    <row r="7">
      <c r="A7" s="14" t="inlineStr">
        <is>
          <t>專案經理</t>
        </is>
      </c>
      <c r="B7" s="15" t="inlineStr">
        <is>
          <t>智慧製造專案專員</t>
        </is>
      </c>
      <c r="C7" s="31" t="n"/>
      <c r="D7" s="31" t="n"/>
      <c r="E7" s="31" t="n"/>
      <c r="F7" s="31" t="n"/>
    </row>
    <row r="8">
      <c r="A8" s="14" t="inlineStr">
        <is>
          <t>改善站點</t>
        </is>
      </c>
      <c r="B8" s="15" t="inlineStr">
        <is>
          <t>封裝段 晶粒外觀檢查站（Die Sorter 挑揀後 AOI 複判之人工目檢）</t>
        </is>
      </c>
      <c r="C8" s="31" t="n"/>
      <c r="D8" s="31" t="n"/>
      <c r="E8" s="31" t="n"/>
      <c r="F8" s="31" t="n"/>
    </row>
    <row r="9">
      <c r="A9" s="14" t="inlineStr">
        <is>
          <t>專案期間</t>
        </is>
      </c>
      <c r="B9" s="15" t="inlineStr">
        <is>
          <t>2026-11-02 ～ 2027-06-18（33 週）</t>
        </is>
      </c>
      <c r="C9" s="31" t="n"/>
      <c r="D9" s="31" t="n"/>
      <c r="E9" s="31" t="n"/>
      <c r="F9" s="31" t="n"/>
    </row>
    <row r="10">
      <c r="A10" s="14" t="inlineStr">
        <is>
          <t>專案類型</t>
        </is>
      </c>
      <c r="B10" s="15" t="inlineStr">
        <is>
          <t>製程品質改善／智慧製造（PDCA）</t>
        </is>
      </c>
      <c r="C10" s="31" t="n"/>
      <c r="D10" s="31" t="n"/>
      <c r="E10" s="31" t="n"/>
      <c r="F10" s="31" t="n"/>
    </row>
    <row r="11">
      <c r="A11" s="1" t="n"/>
      <c r="B11" s="1" t="n"/>
      <c r="C11" s="1" t="n"/>
      <c r="D11" s="1" t="n"/>
      <c r="E11" s="1" t="n"/>
      <c r="F11" s="1" t="n"/>
    </row>
    <row r="12" ht="22" customHeight="1">
      <c r="A12" s="29" t="inlineStr">
        <is>
          <t>2. 背景與痛點</t>
        </is>
      </c>
      <c r="B12" s="30" t="n"/>
      <c r="C12" s="30" t="n"/>
      <c r="D12" s="30" t="n"/>
      <c r="E12" s="30" t="n"/>
      <c r="F12" s="30" t="n"/>
    </row>
    <row r="13" ht="32" customHeight="1">
      <c r="A13" s="13" t="inlineStr">
        <is>
          <t>痛點</t>
        </is>
      </c>
      <c r="B13" s="13" t="inlineStr">
        <is>
          <t>現況描述</t>
        </is>
      </c>
      <c r="C13" s="32" t="n"/>
      <c r="D13" s="32" t="n"/>
      <c r="E13" s="32" t="n"/>
      <c r="F13" s="33" t="n"/>
    </row>
    <row r="14" ht="30" customHeight="1">
      <c r="A14" s="34" t="inlineStr">
        <is>
          <t>判讀靠人眼、速度慢</t>
        </is>
      </c>
      <c r="B14" s="15" t="inlineStr">
        <is>
          <t>產線有檢驗規範，但每顆都要人眼找缺陷、量尺寸、對條文；作者照規範實測每顆 34.9 秒，檢驗站產能受限於人力。</t>
        </is>
      </c>
      <c r="C14" s="31" t="n"/>
      <c r="D14" s="31" t="n"/>
      <c r="E14" s="31" t="n"/>
      <c r="F14" s="31" t="n"/>
    </row>
    <row r="15" ht="30" customHeight="1">
      <c r="A15" s="34" t="inlineStr">
        <is>
          <t>小缺陷漏看、量測因人而異</t>
        </is>
      </c>
      <c r="B15" s="15" t="inlineStr">
        <is>
          <t>人會疲勞，微小崩角、裂紋易漏看；門檻附近的量測不同人、不同次結果不同（作者照規範判兩輪：漏判率 23.5%、重複性 87.2%）。</t>
        </is>
      </c>
      <c r="C15" s="31" t="n"/>
      <c r="D15" s="31" t="n"/>
      <c r="E15" s="31" t="n"/>
      <c r="F15" s="31" t="n"/>
    </row>
    <row r="16" ht="30" customHeight="1">
      <c r="A16" s="34" t="inlineStr">
        <is>
          <t>判定依據不可追溯</t>
        </is>
      </c>
      <c r="B16" s="15" t="inlineStr">
        <is>
          <t>人工目檢僅記錄 Pass/Fail，缺陷分類與尺寸未結構化，客訴時無法回答「為什麼放行」。</t>
        </is>
      </c>
      <c r="C16" s="31" t="n"/>
      <c r="D16" s="31" t="n"/>
      <c r="E16" s="31" t="n"/>
      <c r="F16" s="31" t="n"/>
    </row>
    <row r="17" ht="30" customHeight="1">
      <c r="A17" s="34" t="inlineStr">
        <is>
          <t>異常發現滯後</t>
        </is>
      </c>
      <c r="B17" s="15" t="inlineStr">
        <is>
          <t>批不良率多於超出 UCL 或客退後才被注意，缺少趨勢型預警；處置依賴值班工程師個人經驗。</t>
        </is>
      </c>
      <c r="C17" s="31" t="n"/>
      <c r="D17" s="31" t="n"/>
      <c r="E17" s="31" t="n"/>
      <c r="F17" s="31" t="n"/>
    </row>
    <row r="18" ht="30" customHeight="1">
      <c r="A18" s="34" t="inlineStr">
        <is>
          <t>數據無法彙總</t>
        </is>
      </c>
      <c r="B18" s="15" t="inlineStr">
        <is>
          <t>缺陷描述為自由文字，無法做缺陷分類柏拉圖與跨批趨勢分析。</t>
        </is>
      </c>
      <c r="C18" s="31" t="n"/>
      <c r="D18" s="31" t="n"/>
      <c r="E18" s="31" t="n"/>
      <c r="F18" s="31" t="n"/>
    </row>
    <row r="19">
      <c r="A19" s="1" t="n"/>
      <c r="B19" s="1" t="n"/>
      <c r="C19" s="1" t="n"/>
      <c r="D19" s="1" t="n"/>
      <c r="E19" s="1" t="n"/>
      <c r="F19" s="1" t="n"/>
    </row>
    <row r="20" ht="22" customHeight="1">
      <c r="A20" s="29" t="inlineStr">
        <is>
          <t>3. 目標 KPI</t>
        </is>
      </c>
      <c r="B20" s="30" t="n"/>
      <c r="C20" s="30" t="n"/>
      <c r="D20" s="30" t="n"/>
      <c r="E20" s="30" t="n"/>
      <c r="F20" s="30" t="n"/>
    </row>
    <row r="21" ht="32" customHeight="1">
      <c r="A21" s="13" t="inlineStr">
        <is>
          <t>指標</t>
        </is>
      </c>
      <c r="B21" s="13" t="inlineStr">
        <is>
          <t>定義</t>
        </is>
      </c>
      <c r="C21" s="13" t="inlineStr">
        <is>
          <t>基準線
（人眼＋規範：作者實測）</t>
        </is>
      </c>
      <c r="D21" s="13" t="inlineStr">
        <is>
          <t>PoC 實測
（規範 v1 → v2）</t>
        </is>
      </c>
      <c r="E21" s="13" t="inlineStr">
        <is>
          <t>目標（Gate 門檻）</t>
        </is>
      </c>
      <c r="F21" s="13" t="inlineStr">
        <is>
          <t>量測方式／資料來源</t>
        </is>
      </c>
    </row>
    <row r="22" ht="48" customHeight="1">
      <c r="A22" s="34" t="inlineStr">
        <is>
          <t>每顆判讀時間</t>
        </is>
      </c>
      <c r="B22" s="15" t="inlineStr">
        <is>
          <t>每顆晶粒完成判定所需時間（AI 為回應時間，不含取像）</t>
        </is>
      </c>
      <c r="C22" s="26" t="inlineStr">
        <is>
          <t>34.9 秒（作者實測）</t>
        </is>
      </c>
      <c r="D22" s="35" t="inlineStr">
        <is>
          <t>v2：8.2 秒
比人工快約 4 倍</t>
        </is>
      </c>
      <c r="E22" s="36" t="inlineStr">
        <is>
          <t>≤ 人工判讀時間</t>
        </is>
      </c>
      <c r="F22" s="15" t="inlineStr">
        <is>
          <t>計時；試行期並行比對</t>
        </is>
      </c>
    </row>
    <row r="23" ht="48" customHeight="1">
      <c r="A23" s="34" t="inlineStr">
        <is>
          <t>漏判率</t>
        </is>
      </c>
      <c r="B23" s="15" t="inlineStr">
        <is>
          <t>應 Fail 卻放行之比例</t>
        </is>
      </c>
      <c r="C23" s="26" t="inlineStr">
        <is>
          <t>23.5%（4/17）</t>
        </is>
      </c>
      <c r="D23" s="35" t="inlineStr">
        <is>
          <t>37.0% → 0.0%（0/27）
v2 達標</t>
        </is>
      </c>
      <c r="E23" s="36" t="inlineStr">
        <is>
          <t>≤ 5%</t>
        </is>
      </c>
      <c r="F23" s="15" t="inlineStr">
        <is>
          <t>一致性分析；試行期並行比對</t>
        </is>
      </c>
    </row>
    <row r="24" ht="48" customHeight="1">
      <c r="A24" s="34" t="inlineStr">
        <is>
          <t>重複性</t>
        </is>
      </c>
      <c r="B24" s="15" t="inlineStr">
        <is>
          <t>同一評估者對同一樣本兩次判定一致之比例</t>
        </is>
      </c>
      <c r="C24" s="26" t="inlineStr">
        <is>
          <t>87.2%（39 組配對）</t>
        </is>
      </c>
      <c r="D24" s="35" t="inlineStr">
        <is>
          <t>77.5% → 92.5%（120 組配對）
v2 達標</t>
        </is>
      </c>
      <c r="E24" s="36" t="inlineStr">
        <is>
          <t>≥ 90%</t>
        </is>
      </c>
      <c r="F24" s="15" t="inlineStr">
        <is>
          <t>一致性分析（≥ 2 次判定）</t>
        </is>
      </c>
    </row>
    <row r="25" ht="48" customHeight="1">
      <c r="A25" s="34" t="inlineStr">
        <is>
          <t>人工複判率</t>
        </is>
      </c>
      <c r="B25" s="15" t="inlineStr">
        <is>
          <t>判定 Warning 送人工複判之比例</t>
        </is>
      </c>
      <c r="C25" s="26" t="inlineStr">
        <is>
          <t>25.3%</t>
        </is>
      </c>
      <c r="D25" s="35" t="inlineStr">
        <is>
          <t>23.3% → 25.8%（標準答案 22.5%）
v2 達標</t>
        </is>
      </c>
      <c r="E25" s="36" t="inlineStr">
        <is>
          <t>≤ 30%（規範 v2 提案門檻）</t>
        </is>
      </c>
      <c r="F25" s="15" t="inlineStr">
        <is>
          <t>一致性分析；試行線週別統計</t>
        </is>
      </c>
    </row>
    <row r="26" ht="48" customHeight="1">
      <c r="A26" s="34" t="inlineStr">
        <is>
          <t>評估者間一致率（再現性）</t>
        </is>
      </c>
      <c r="B26" s="15" t="inlineStr">
        <is>
          <t>三位評估者判定相同之樣本比例</t>
        </is>
      </c>
      <c r="C26" s="26" t="inlineStr">
        <is>
          <t>—（人工組僅 1 人）</t>
        </is>
      </c>
      <c r="D26" s="37" t="inlineStr">
        <is>
          <t>60.0% → 82.5%
v2 未達標</t>
        </is>
      </c>
      <c r="E26" s="36" t="inlineStr">
        <is>
          <t>≥ 90%</t>
        </is>
      </c>
      <c r="F26" s="15" t="inlineStr">
        <is>
          <t>一致性分析（計數值 MSA）</t>
        </is>
      </c>
    </row>
    <row r="27" ht="48" customHeight="1">
      <c r="A27" s="34" t="inlineStr">
        <is>
          <t>對標準答案一致率</t>
        </is>
      </c>
      <c r="B27" s="15" t="inlineStr">
        <is>
          <t>判定與標準答案相符之比例（逐筆）</t>
        </is>
      </c>
      <c r="C27" s="26" t="inlineStr">
        <is>
          <t>70.9%</t>
        </is>
      </c>
      <c r="D27" s="37" t="inlineStr">
        <is>
          <t>60.8% → 75.8%
v2 未達標</t>
        </is>
      </c>
      <c r="E27" s="36" t="inlineStr">
        <is>
          <t>≥ 90%</t>
        </is>
      </c>
      <c r="F27" s="15" t="inlineStr">
        <is>
          <t>一致性分析</t>
        </is>
      </c>
    </row>
    <row r="28" ht="48" customHeight="1">
      <c r="A28" s="34" t="inlineStr">
        <is>
          <t>誤判率</t>
        </is>
      </c>
      <c r="B28" s="15" t="inlineStr">
        <is>
          <t>應 Pass 卻退件之比例</t>
        </is>
      </c>
      <c r="C28" s="26" t="inlineStr">
        <is>
          <t>2.3%（1/43）</t>
        </is>
      </c>
      <c r="D28" s="37" t="inlineStr">
        <is>
          <t>3.0% → 7.6%（5/66）
v2 未達標</t>
        </is>
      </c>
      <c r="E28" s="36" t="inlineStr">
        <is>
          <t>≤ 3%（假設值，待 QA 核定）</t>
        </is>
      </c>
      <c r="F28" s="15" t="inlineStr">
        <is>
          <t>一致性分析；試行期並行比對</t>
        </is>
      </c>
    </row>
    <row r="29" ht="48" customHeight="1">
      <c r="A29" s="34" t="inlineStr">
        <is>
          <t>異常提早發現批數</t>
        </is>
      </c>
      <c r="B29" s="15" t="inlineStr">
        <is>
          <t>首次預警批 較 首次超出 UCL 批 提早之批數</t>
        </is>
      </c>
      <c r="C29" s="26" t="inlineStr">
        <is>
          <t>0 批（超出 UCL 才處理）</t>
        </is>
      </c>
      <c r="D29" s="37" t="inlineStr">
        <is>
          <t>v1：0 批（L24 預警＝異常；完美判定亦未提早）
v2：尚未重新驗證</t>
        </is>
      </c>
      <c r="E29" s="36" t="inlineStr">
        <is>
          <t>提早 ≥ 2 批</t>
        </is>
      </c>
      <c r="F29" s="15" t="inlineStr">
        <is>
          <t>p 管制圖判異規則（25 批漂移情境模擬）</t>
        </is>
      </c>
    </row>
    <row r="30" ht="48" customHeight="1">
      <c r="A30" s="34" t="inlineStr">
        <is>
          <t>異常處置單確認時效</t>
        </is>
      </c>
      <c r="B30" s="15" t="inlineStr">
        <is>
          <t>預警觸發至處置單經人確認送出之時間</t>
        </is>
      </c>
      <c r="C30" s="26" t="inlineStr">
        <is>
          <t>未量測</t>
        </is>
      </c>
      <c r="D30" s="26" t="inlineStr">
        <is>
          <t>未量測（PoC 未實作）</t>
        </is>
      </c>
      <c r="E30" s="36" t="inlineStr">
        <is>
          <t>≤ 4 小時（假設值）</t>
        </is>
      </c>
      <c r="F30" s="15" t="inlineStr">
        <is>
          <t>系統時間戳記</t>
        </is>
      </c>
    </row>
    <row r="31" ht="18" customHeight="1">
      <c r="A31" s="38" t="inlineStr">
        <is>
          <t>判讀（照實）：規範 v1 的 AI 漏判率 37.0%，比人工 23.5% 還高，② Gate（v1）未通過；規範 v2 重跑後 AI 每顆 8.2 秒（人工 34.9 秒）、漏判率 0%、重複性 92.5%、人工複判率 25.8% 達標，但評估者間一致率 82.5%、誤判率 7.6%（人工 2.3%）未達，預警提早尚未重驗 → Gate（v2）尚未通過。</t>
        </is>
      </c>
      <c r="B31" s="1" t="n"/>
      <c r="C31" s="1" t="n"/>
      <c r="D31" s="1" t="n"/>
      <c r="E31" s="1" t="n"/>
      <c r="F31" s="1" t="n"/>
    </row>
    <row r="32" ht="18" customHeight="1">
      <c r="A32" s="39" t="inlineStr">
        <is>
          <t>・基準線為作者本人照規範判兩輪（79 筆，真實），只有一人且為規範撰寫者；試行期須以 3 位檢驗員重測。另一對照：只給 AI 口述標準時評估者間一致率 57.5%、人工複判率 42.5%，說明 AI 必須搭配規則。</t>
        </is>
      </c>
      <c r="B32" s="1" t="n"/>
      <c r="C32" s="1" t="n"/>
      <c r="D32" s="1" t="n"/>
      <c r="E32" s="1" t="n"/>
      <c r="F32" s="1" t="n"/>
    </row>
    <row r="33" ht="18" customHeight="1">
      <c r="A33" s="39" t="inlineStr">
        <is>
          <t>・漏判主因是 AI「看不到」：CHP 偵出率 14.8%、CRK 0%；尺寸量測有系統性偏差（CHP 深度 −65%、CON 直徑 −57%、SCR 長度 +47%）。</t>
        </is>
      </c>
      <c r="B33" s="1" t="n"/>
      <c r="C33" s="1" t="n"/>
      <c r="D33" s="1" t="n"/>
      <c r="E33" s="1" t="n"/>
      <c r="F33" s="1" t="n"/>
    </row>
    <row r="34" ht="18" customHeight="1">
      <c r="A34" s="39" t="inlineStr">
        <is>
          <t>・Fleiss' kappa 0.43 → 0.39（v1）→ 0.82（v2）；樣本少（每類 Fail 2–3 張），v1 漏判 10/27 之 95% 信賴區間約 22–56%，v2 漏判 0/27 之上界約 13%。</t>
        </is>
      </c>
      <c r="B34" s="1" t="n"/>
      <c r="C34" s="1" t="n"/>
      <c r="D34" s="1" t="n"/>
      <c r="E34" s="1" t="n"/>
      <c r="F34" s="1" t="n"/>
    </row>
    <row r="35" ht="18" customHeight="1">
      <c r="A35" s="39" t="inlineStr">
        <is>
          <t>・規範 v2（邊緣分塊放大檢查、以框選範圍換算尺寸、不確定一律送人工複判）已執行；新問題是 AI 框選過鬆、尺寸高估（CHP 深度 +147%），5 筆誤判全來自 S24、S31 兩張好晶粒。</t>
        </is>
      </c>
      <c r="B35" s="1" t="n"/>
      <c r="C35" s="1" t="n"/>
      <c r="D35" s="1" t="n"/>
      <c r="E35" s="1" t="n"/>
      <c r="F35" s="1" t="n"/>
    </row>
    <row r="36" ht="18" customHeight="1">
      <c r="A36" s="39" t="inlineStr">
        <is>
          <t>・下一輪 v2.1：程式在框內找缺陷實際邊緣再量測、量測值落在門檻 ±10% 內送人工複判、以 v2 實測誤差重跑管制圖模擬（時程表 2.11）。</t>
        </is>
      </c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 ht="22" customHeight="1">
      <c r="A39" s="29" t="inlineStr">
        <is>
          <t>4. 範圍</t>
        </is>
      </c>
      <c r="B39" s="30" t="n"/>
      <c r="C39" s="30" t="n"/>
      <c r="D39" s="30" t="n"/>
      <c r="E39" s="30" t="n"/>
      <c r="F39" s="30" t="n"/>
    </row>
    <row r="40" ht="32" customHeight="1">
      <c r="A40" s="13" t="inlineStr">
        <is>
          <t>範圍內（In Scope）</t>
        </is>
      </c>
      <c r="B40" s="32" t="n"/>
      <c r="C40" s="33" t="n"/>
      <c r="D40" s="13" t="inlineStr">
        <is>
          <t>不做什麼（Out of Scope）</t>
        </is>
      </c>
      <c r="E40" s="32" t="n"/>
      <c r="F40" s="33" t="n"/>
    </row>
    <row r="41" ht="30" customHeight="1">
      <c r="A41" s="15" t="inlineStr">
        <is>
          <t>・僅限封裝段「晶粒外觀檢查站」；試行階段僅一條產線、一台取像站</t>
        </is>
      </c>
      <c r="B41" s="31" t="n"/>
      <c r="C41" s="31" t="n"/>
      <c r="D41" s="15" t="inlineStr">
        <is>
          <t>✕ 不取代既有 AOI 機台或 Die Sorter；不改機台程式</t>
        </is>
      </c>
      <c r="E41" s="31" t="n"/>
      <c r="F41" s="31" t="n"/>
    </row>
    <row r="42" ht="30" customHeight="1">
      <c r="A42" s="15" t="inlineStr">
        <is>
          <t>・缺陷分類依檢驗規範：CHP 崩角、CRK 裂紋、SCR 刮傷、CON 污染（後續版本可擴充）</t>
        </is>
      </c>
      <c r="B42" s="31" t="n"/>
      <c r="C42" s="31" t="n"/>
      <c r="D42" s="15" t="inlineStr">
        <is>
          <t>✕ 不擴及其他站點（晶圓前段、Bump、Wire bond、成品外觀）</t>
        </is>
      </c>
      <c r="E42" s="31" t="n"/>
      <c r="F42" s="31" t="n"/>
    </row>
    <row r="43" ht="30" customHeight="1">
      <c r="A43" s="15" t="inlineStr">
        <is>
          <t>・AI 僅辨識缺陷分類、尺寸與檢驗區域；判定由系統依允收標準推導並記錄規範版本（ADR-0001）</t>
        </is>
      </c>
      <c r="B43" s="31" t="n"/>
      <c r="C43" s="31" t="n"/>
      <c r="D43" s="15" t="inlineStr">
        <is>
          <t>✕ 不由 AI 直接給出判定，不讓 AI 自動放行或退件</t>
        </is>
      </c>
      <c r="E43" s="31" t="n"/>
      <c r="F43" s="31" t="n"/>
    </row>
    <row r="44" ht="30" customHeight="1">
      <c r="A44" s="15" t="inlineStr">
        <is>
          <t>・判定 Warning 送人工複判之流程與紀錄</t>
        </is>
      </c>
      <c r="B44" s="31" t="n"/>
      <c r="C44" s="31" t="n"/>
      <c r="D44" s="15" t="inlineStr">
        <is>
          <t>✕ 不自行訓練／標註深度學習模型（若 ③ 結果需要，另案評估）</t>
        </is>
      </c>
      <c r="E44" s="31" t="n"/>
      <c r="F44" s="31" t="n"/>
    </row>
    <row r="45" ht="30" customHeight="1">
      <c r="A45" s="15" t="inlineStr">
        <is>
          <t>・批不良率 p 管制圖、判異規則預警、AI 草擬異常處置單（經人確認後送出）</t>
        </is>
      </c>
      <c r="B45" s="31" t="n"/>
      <c r="C45" s="31" t="n"/>
      <c r="D45" s="15" t="inlineStr">
        <is>
          <t>✕ 不修改客戶出貨規格；檢驗規範僅能等於或嚴於客戶規格</t>
        </is>
      </c>
      <c r="E45" s="31" t="n"/>
      <c r="F45" s="31" t="n"/>
    </row>
    <row r="46" ht="30" customHeight="1">
      <c r="A46" s="15" t="inlineStr">
        <is>
          <t>・④ 階段：判定結果、缺陷代碼、規範版本與批號上拋 MES</t>
        </is>
      </c>
      <c r="B46" s="31" t="n"/>
      <c r="C46" s="31" t="n"/>
      <c r="D46" s="15" t="inlineStr">
        <is>
          <t>✕ 不由系統自動 Hold 批（MES Hold 仍由人依異常處置單執行）</t>
        </is>
      </c>
      <c r="E46" s="31" t="n"/>
      <c r="F46" s="31" t="n"/>
    </row>
    <row r="47" ht="30" customHeight="1">
      <c r="A47" s="15" t="n"/>
      <c r="B47" s="31" t="n"/>
      <c r="C47" s="31" t="n"/>
      <c r="D47" s="15" t="inlineStr">
        <is>
          <t>✕ 不作為作業員績效考核依據</t>
        </is>
      </c>
      <c r="E47" s="31" t="n"/>
      <c r="F47" s="31" t="n"/>
    </row>
    <row r="48">
      <c r="A48" s="1" t="n"/>
      <c r="B48" s="1" t="n"/>
      <c r="C48" s="1" t="n"/>
      <c r="D48" s="1" t="n"/>
      <c r="E48" s="1" t="n"/>
      <c r="F48" s="1" t="n"/>
    </row>
    <row r="49" ht="22" customHeight="1">
      <c r="A49" s="29" t="inlineStr">
        <is>
          <t>5. 主要假設與限制</t>
        </is>
      </c>
      <c r="B49" s="30" t="n"/>
      <c r="C49" s="30" t="n"/>
      <c r="D49" s="30" t="n"/>
      <c r="E49" s="30" t="n"/>
      <c r="F49" s="30" t="n"/>
    </row>
    <row r="50" ht="32" customHeight="1">
      <c r="A50" s="13" t="inlineStr">
        <is>
          <t>編號</t>
        </is>
      </c>
      <c r="B50" s="13" t="inlineStr">
        <is>
          <t>假設內容</t>
        </is>
      </c>
      <c r="C50" s="32" t="n"/>
      <c r="D50" s="32" t="n"/>
      <c r="E50" s="33" t="n"/>
      <c r="F50" s="13" t="inlineStr">
        <is>
          <t>驗證時點</t>
        </is>
      </c>
    </row>
    <row r="51" ht="30" customHeight="1">
      <c r="A51" s="36" t="inlineStr">
        <is>
          <t>A1</t>
        </is>
      </c>
      <c r="B51" s="15" t="inlineStr">
        <is>
          <t>試行線可加裝固定光源治具與取像站，影像解析度可達 5 µm/px（檢驗規範 v1 換算基準）</t>
        </is>
      </c>
      <c r="C51" s="31" t="n"/>
      <c r="D51" s="31" t="n"/>
      <c r="E51" s="31" t="n"/>
      <c r="F51" s="26" t="inlineStr">
        <is>
          <t>W3 取像條件定義</t>
        </is>
      </c>
    </row>
    <row r="52" ht="30" customHeight="1">
      <c r="A52" s="36" t="inlineStr">
        <is>
          <t>A2</t>
        </is>
      </c>
      <c r="B52" s="15" t="inlineStr">
        <is>
          <t>QA 可自產線挑選標準樣本並經量測確認標準答案；稀少缺陷（如 CRK）收集期可能延長</t>
        </is>
      </c>
      <c r="C52" s="31" t="n"/>
      <c r="D52" s="31" t="n"/>
      <c r="E52" s="31" t="n"/>
      <c r="F52" s="26" t="inlineStr">
        <is>
          <t>W4 樣本收集</t>
        </is>
      </c>
    </row>
    <row r="53" ht="30" customHeight="1">
      <c r="A53" s="36" t="inlineStr">
        <is>
          <t>A3</t>
        </is>
      </c>
      <c r="B53" s="15" t="inlineStr">
        <is>
          <t>資安單位核可影像送外部 AI 服務（去識別化後）或核撥地端方案預算</t>
        </is>
      </c>
      <c r="C53" s="31" t="n"/>
      <c r="D53" s="31" t="n"/>
      <c r="E53" s="31" t="n"/>
      <c r="F53" s="26" t="inlineStr">
        <is>
          <t>W5 資安評估</t>
        </is>
      </c>
    </row>
    <row r="54" ht="30" customHeight="1">
      <c r="A54" s="36" t="inlineStr">
        <is>
          <t>A4</t>
        </is>
      </c>
      <c r="B54" s="15" t="inlineStr">
        <is>
          <t>③ 試行期間人工目檢照常執行，AI 判定不影響放行，僅作並行比對</t>
        </is>
      </c>
      <c r="C54" s="31" t="n"/>
      <c r="D54" s="31" t="n"/>
      <c r="E54" s="31" t="n"/>
      <c r="F54" s="26" t="inlineStr">
        <is>
          <t>W19 試行啟動</t>
        </is>
      </c>
    </row>
    <row r="55" ht="30" customHeight="1">
      <c r="A55" s="36" t="inlineStr">
        <is>
          <t>A5</t>
        </is>
      </c>
      <c r="B55" s="15" t="inlineStr">
        <is>
          <t>IT/MES 於第 19 週起可投入介接規格與開發資源（約 7 週）</t>
        </is>
      </c>
      <c r="C55" s="31" t="n"/>
      <c r="D55" s="31" t="n"/>
      <c r="E55" s="31" t="n"/>
      <c r="F55" s="26" t="inlineStr">
        <is>
          <t>W19 介接規格</t>
        </is>
      </c>
    </row>
    <row r="56" ht="30" customHeight="1">
      <c r="A56" s="36" t="inlineStr">
        <is>
          <t>A6</t>
        </is>
      </c>
      <c r="B56" s="15" t="inlineStr">
        <is>
          <t>PoC 之一致性分析以半合成樣本與模擬評估者完成（ADR-0002）；實際導入須以產線樣本與真人作業員重做</t>
        </is>
      </c>
      <c r="C56" s="31" t="n"/>
      <c r="D56" s="31" t="n"/>
      <c r="E56" s="31" t="n"/>
      <c r="F56" s="26" t="inlineStr">
        <is>
          <t>① 階段 MSA</t>
        </is>
      </c>
    </row>
    <row r="57" ht="30" customHeight="1">
      <c r="A57" s="36" t="inlineStr">
        <is>
          <t>A7</t>
        </is>
      </c>
      <c r="B57" s="15" t="inlineStr">
        <is>
          <t>規範 v2 重跑之 API 預算可獲核准（v2 已於作品中重跑：實際 US$9.55／240 次呼叫，原估 US$3–4 低估；v1 第 2 次判定補跑 US$1.17）</t>
        </is>
      </c>
      <c r="C57" s="31" t="n"/>
      <c r="D57" s="31" t="n"/>
      <c r="E57" s="31" t="n"/>
      <c r="F57" s="26" t="inlineStr">
        <is>
          <t>W14 預算核准</t>
        </is>
      </c>
    </row>
    <row r="58">
      <c r="A58" s="1" t="n"/>
      <c r="B58" s="1" t="n"/>
      <c r="C58" s="1" t="n"/>
      <c r="D58" s="1" t="n"/>
      <c r="E58" s="1" t="n"/>
      <c r="F58" s="1" t="n"/>
    </row>
    <row r="59" ht="22" customHeight="1">
      <c r="A59" s="29" t="inlineStr">
        <is>
          <t>6. 專案成員與角色</t>
        </is>
      </c>
      <c r="B59" s="30" t="n"/>
      <c r="C59" s="30" t="n"/>
      <c r="D59" s="30" t="n"/>
      <c r="E59" s="30" t="n"/>
      <c r="F59" s="30" t="n"/>
    </row>
    <row r="60" ht="32" customHeight="1">
      <c r="A60" s="13" t="inlineStr">
        <is>
          <t>角色</t>
        </is>
      </c>
      <c r="B60" s="13" t="inlineStr">
        <is>
          <t>單位</t>
        </is>
      </c>
      <c r="C60" s="13" t="inlineStr">
        <is>
          <t>主要職責</t>
        </is>
      </c>
      <c r="D60" s="33" t="n"/>
      <c r="E60" s="13" t="inlineStr">
        <is>
          <t>投入比例（預估）</t>
        </is>
      </c>
      <c r="F60" s="13" t="inlineStr">
        <is>
          <t>備註</t>
        </is>
      </c>
    </row>
    <row r="61" ht="30" customHeight="1">
      <c r="A61" s="34" t="inlineStr">
        <is>
          <t>專案發起人</t>
        </is>
      </c>
      <c r="B61" s="26" t="inlineStr">
        <is>
          <t>製造處</t>
        </is>
      </c>
      <c r="C61" s="15" t="inlineStr">
        <is>
          <t>核定章程與資源、Gate 審查最終簽核、跨部門議題裁決</t>
        </is>
      </c>
      <c r="D61" s="31" t="n"/>
      <c r="E61" s="26" t="inlineStr">
        <is>
          <t>5%</t>
        </is>
      </c>
      <c r="F61" s="15" t="inlineStr">
        <is>
          <t>跨部門主管會議主席</t>
        </is>
      </c>
    </row>
    <row r="62" ht="30" customHeight="1">
      <c r="A62" s="34" t="inlineStr">
        <is>
          <t>專案經理（專案專員）</t>
        </is>
      </c>
      <c r="B62" s="26" t="inlineStr">
        <is>
          <t>智慧製造</t>
        </is>
      </c>
      <c r="C62" s="15" t="inlineStr">
        <is>
          <t>時程與週會追蹤、PoC 建置、一致性分析、風險與升級管理</t>
        </is>
      </c>
      <c r="D62" s="31" t="n"/>
      <c r="E62" s="26" t="inlineStr">
        <is>
          <t>80%</t>
        </is>
      </c>
      <c r="F62" s="15" t="inlineStr">
        <is>
          <t>本文件撰寫人</t>
        </is>
      </c>
    </row>
    <row r="63" ht="30" customHeight="1">
      <c r="A63" s="34" t="inlineStr">
        <is>
          <t>品質代表</t>
        </is>
      </c>
      <c r="B63" s="26" t="inlineStr">
        <is>
          <t>QA/品保</t>
        </is>
      </c>
      <c r="C63" s="15" t="inlineStr">
        <is>
          <t>標準樣本與標準答案、檢驗規範審查與發行、漏判風險把關</t>
        </is>
      </c>
      <c r="D63" s="31" t="n"/>
      <c r="E63" s="26" t="inlineStr">
        <is>
          <t>30%</t>
        </is>
      </c>
      <c r="F63" s="15" t="inlineStr">
        <is>
          <t>規範 Owner</t>
        </is>
      </c>
    </row>
    <row r="64" ht="30" customHeight="1">
      <c r="A64" s="34" t="inlineStr">
        <is>
          <t>製程代表</t>
        </is>
      </c>
      <c r="B64" s="26" t="inlineStr">
        <is>
          <t>製程工程</t>
        </is>
      </c>
      <c r="C64" s="15" t="inlineStr">
        <is>
          <t>允收標準技術依據、p 管制圖判異規則、異常處置單內容</t>
        </is>
      </c>
      <c r="D64" s="31" t="n"/>
      <c r="E64" s="26" t="inlineStr">
        <is>
          <t>20%</t>
        </is>
      </c>
      <c r="F64" s="15" t="inlineStr"/>
    </row>
    <row r="65" ht="30" customHeight="1">
      <c r="A65" s="34" t="inlineStr">
        <is>
          <t>設備代表</t>
        </is>
      </c>
      <c r="B65" s="26" t="inlineStr">
        <is>
          <t>設備工程</t>
        </is>
      </c>
      <c r="C65" s="15" t="inlineStr">
        <is>
          <t>光源治具與取像站、µm/px 校正、機台差異驗證</t>
        </is>
      </c>
      <c r="D65" s="31" t="n"/>
      <c r="E65" s="26" t="inlineStr">
        <is>
          <t>20%</t>
        </is>
      </c>
      <c r="F65" s="15" t="inlineStr">
        <is>
          <t>治具請購協同採購</t>
        </is>
      </c>
    </row>
    <row r="66" ht="30" customHeight="1">
      <c r="A66" s="34" t="inlineStr">
        <is>
          <t>系統代表</t>
        </is>
      </c>
      <c r="B66" s="26" t="inlineStr">
        <is>
          <t>IT/MES</t>
        </is>
      </c>
      <c r="C66" s="15" t="inlineStr">
        <is>
          <t>資安評估、PoC 環境、MES 介接開發與上線</t>
        </is>
      </c>
      <c r="D66" s="31" t="n"/>
      <c r="E66" s="26" t="inlineStr">
        <is>
          <t>20%（④ 階段 50%）</t>
        </is>
      </c>
      <c r="F66" s="15" t="inlineStr"/>
    </row>
    <row r="67" ht="30" customHeight="1">
      <c r="A67" s="34" t="inlineStr">
        <is>
          <t>產線代表</t>
        </is>
      </c>
      <c r="B67" s="26" t="inlineStr">
        <is>
          <t>生產/製造</t>
        </is>
      </c>
      <c r="C67" s="15" t="inlineStr">
        <is>
          <t>目檢站作業員調度、並行比對執行、人工複判紀錄</t>
        </is>
      </c>
      <c r="D67" s="31" t="n"/>
      <c r="E67" s="26" t="inlineStr">
        <is>
          <t>15%</t>
        </is>
      </c>
      <c r="F67" s="15" t="inlineStr">
        <is>
          <t>目檢站班長</t>
        </is>
      </c>
    </row>
    <row r="68" ht="30" customHeight="1">
      <c r="A68" s="34" t="inlineStr">
        <is>
          <t>生管代表</t>
        </is>
      </c>
      <c r="B68" s="26" t="inlineStr">
        <is>
          <t>生管</t>
        </is>
      </c>
      <c r="C68" s="15" t="inlineStr">
        <is>
          <t>試行期產能與人力影響評估、批排程配合</t>
        </is>
      </c>
      <c r="D68" s="31" t="n"/>
      <c r="E68" s="26" t="inlineStr">
        <is>
          <t>10%</t>
        </is>
      </c>
      <c r="F68" s="15" t="inlineStr"/>
    </row>
    <row r="69">
      <c r="A69" s="1" t="n"/>
      <c r="B69" s="1" t="n"/>
      <c r="C69" s="1" t="n"/>
      <c r="D69" s="1" t="n"/>
      <c r="E69" s="1" t="n"/>
      <c r="F69" s="1" t="n"/>
    </row>
    <row r="70" ht="22" customHeight="1">
      <c r="A70" s="29" t="inlineStr">
        <is>
          <t>7. 簽核</t>
        </is>
      </c>
      <c r="B70" s="30" t="n"/>
      <c r="C70" s="30" t="n"/>
      <c r="D70" s="30" t="n"/>
      <c r="E70" s="30" t="n"/>
      <c r="F70" s="30" t="n"/>
    </row>
    <row r="71" ht="32" customHeight="1">
      <c r="A71" s="13" t="inlineStr">
        <is>
          <t>簽核角色</t>
        </is>
      </c>
      <c r="B71" s="13" t="inlineStr">
        <is>
          <t>單位</t>
        </is>
      </c>
      <c r="C71" s="13" t="inlineStr">
        <is>
          <t>姓名</t>
        </is>
      </c>
      <c r="D71" s="13" t="inlineStr">
        <is>
          <t>日期</t>
        </is>
      </c>
      <c r="E71" s="13" t="inlineStr">
        <is>
          <t>意見</t>
        </is>
      </c>
      <c r="F71" s="33" t="n"/>
    </row>
    <row r="72" ht="26" customHeight="1">
      <c r="A72" s="34" t="inlineStr">
        <is>
          <t>專案發起人</t>
        </is>
      </c>
      <c r="B72" s="26" t="inlineStr">
        <is>
          <t>製造處</t>
        </is>
      </c>
      <c r="C72" s="15" t="n"/>
      <c r="D72" s="15" t="n"/>
      <c r="E72" s="15" t="n"/>
      <c r="F72" s="33" t="n"/>
    </row>
    <row r="73" ht="26" customHeight="1">
      <c r="A73" s="34" t="inlineStr">
        <is>
          <t>品質主管</t>
        </is>
      </c>
      <c r="B73" s="26" t="inlineStr">
        <is>
          <t>QA/品保</t>
        </is>
      </c>
      <c r="C73" s="15" t="n"/>
      <c r="D73" s="15" t="n"/>
      <c r="E73" s="15" t="n"/>
      <c r="F73" s="33" t="n"/>
    </row>
    <row r="74" ht="26" customHeight="1">
      <c r="A74" s="34" t="inlineStr">
        <is>
          <t>專案經理</t>
        </is>
      </c>
      <c r="B74" s="26" t="inlineStr">
        <is>
          <t>智慧製造</t>
        </is>
      </c>
      <c r="C74" s="15" t="n"/>
      <c r="D74" s="15" t="n"/>
      <c r="E74" s="15" t="n"/>
      <c r="F74" s="33" t="n"/>
    </row>
  </sheetData>
  <mergeCells count="55">
    <mergeCell ref="A41:C41"/>
    <mergeCell ref="B7:F7"/>
    <mergeCell ref="C62:D62"/>
    <mergeCell ref="C68:D68"/>
    <mergeCell ref="B16:F16"/>
    <mergeCell ref="D41:F41"/>
    <mergeCell ref="A46:C46"/>
    <mergeCell ref="E71:F71"/>
    <mergeCell ref="B55:E55"/>
    <mergeCell ref="B51:E51"/>
    <mergeCell ref="C64:D64"/>
    <mergeCell ref="D47:F47"/>
    <mergeCell ref="B18:F18"/>
    <mergeCell ref="D43:F43"/>
    <mergeCell ref="A33:F33"/>
    <mergeCell ref="A42:C42"/>
    <mergeCell ref="E73:F73"/>
    <mergeCell ref="A47:C47"/>
    <mergeCell ref="B50:E50"/>
    <mergeCell ref="C63:D63"/>
    <mergeCell ref="C65:D65"/>
    <mergeCell ref="A32:F32"/>
    <mergeCell ref="B54:E54"/>
    <mergeCell ref="A35:F35"/>
    <mergeCell ref="B14:F14"/>
    <mergeCell ref="B8:F8"/>
    <mergeCell ref="B17:F17"/>
    <mergeCell ref="A43:C43"/>
    <mergeCell ref="B13:F13"/>
    <mergeCell ref="E74:F74"/>
    <mergeCell ref="D42:F42"/>
    <mergeCell ref="B56:E56"/>
    <mergeCell ref="A44:C44"/>
    <mergeCell ref="C60:D60"/>
    <mergeCell ref="B10:F10"/>
    <mergeCell ref="B52:E52"/>
    <mergeCell ref="A31:F31"/>
    <mergeCell ref="A40:C40"/>
    <mergeCell ref="C61:D61"/>
    <mergeCell ref="A34:F34"/>
    <mergeCell ref="D44:F44"/>
    <mergeCell ref="B9:F9"/>
    <mergeCell ref="B57:E57"/>
    <mergeCell ref="B6:F6"/>
    <mergeCell ref="B53:E53"/>
    <mergeCell ref="A36:F36"/>
    <mergeCell ref="A45:C45"/>
    <mergeCell ref="B15:F15"/>
    <mergeCell ref="C67:D67"/>
    <mergeCell ref="D46:F46"/>
    <mergeCell ref="E72:F72"/>
    <mergeCell ref="B5:F5"/>
    <mergeCell ref="D40:F40"/>
    <mergeCell ref="C66:D66"/>
    <mergeCell ref="D45:F45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&amp;C&amp;A　第 &amp;P / &amp;N 頁&amp;R模擬情境・非實際導入紀錄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T49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46" customWidth="1" min="3" max="3"/>
    <col width="6" customWidth="1" min="4" max="4"/>
    <col width="11" customWidth="1" min="5" max="5"/>
    <col width="6" customWidth="1" min="6" max="6"/>
    <col width="5" customWidth="1" min="7" max="7"/>
    <col width="6" customWidth="1" min="8" max="8"/>
    <col width="12.5" customWidth="1" min="9" max="9"/>
    <col width="12.5" customWidth="1" min="10" max="10"/>
    <col width="11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60" customWidth="1" min="45" max="45"/>
    <col width="21" customWidth="1" min="46" max="46"/>
  </cols>
  <sheetData>
    <row r="1" ht="28" customHeight="1">
      <c r="A1" s="27" t="inlineStr">
        <is>
          <t>時程表｜四導入階段 WBS 與甘特圖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40" t="inlineStr">
        <is>
          <t>專案起始日（W1 週一）</t>
        </is>
      </c>
      <c r="B2" s="1" t="n"/>
      <c r="C2" s="41" t="n">
        <v>46328</v>
      </c>
      <c r="D2" s="42" t="inlineStr">
        <is>
          <t>圖例</t>
        </is>
      </c>
      <c r="E2" s="43" t="inlineStr">
        <is>
          <t>①</t>
        </is>
      </c>
      <c r="F2" s="44" t="inlineStr">
        <is>
          <t>②</t>
        </is>
      </c>
      <c r="G2" s="45" t="inlineStr">
        <is>
          <t>③</t>
        </is>
      </c>
      <c r="H2" s="46" t="inlineStr">
        <is>
          <t>④</t>
        </is>
      </c>
      <c r="I2" s="47" t="inlineStr">
        <is>
          <t>◆ Gate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48" t="inlineStr">
        <is>
          <t>春節</t>
        </is>
      </c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 ht="34" customHeight="1">
      <c r="A3" s="49" t="inlineStr">
        <is>
          <t>WBS</t>
        </is>
      </c>
      <c r="B3" s="49" t="inlineStr">
        <is>
          <t>階段</t>
        </is>
      </c>
      <c r="C3" s="49" t="inlineStr">
        <is>
          <t>任務名稱</t>
        </is>
      </c>
      <c r="D3" s="49" t="inlineStr">
        <is>
          <t>類型</t>
        </is>
      </c>
      <c r="E3" s="49" t="inlineStr">
        <is>
          <t>負責單位</t>
        </is>
      </c>
      <c r="F3" s="49" t="inlineStr">
        <is>
          <t>開始週</t>
        </is>
      </c>
      <c r="G3" s="49" t="inlineStr">
        <is>
          <t>週數</t>
        </is>
      </c>
      <c r="H3" s="49" t="inlineStr">
        <is>
          <t>結束週</t>
        </is>
      </c>
      <c r="I3" s="49" t="inlineStr">
        <is>
          <t>開始日</t>
        </is>
      </c>
      <c r="J3" s="49" t="inlineStr">
        <is>
          <t>結束日</t>
        </is>
      </c>
      <c r="K3" s="49" t="inlineStr">
        <is>
          <t>前置任務</t>
        </is>
      </c>
      <c r="L3" s="50">
        <f>$C$2+(L4-1)*7</f>
        <v/>
      </c>
      <c r="M3" s="50">
        <f>$C$2+(M4-1)*7</f>
        <v/>
      </c>
      <c r="N3" s="50">
        <f>$C$2+(N4-1)*7</f>
        <v/>
      </c>
      <c r="O3" s="50">
        <f>$C$2+(O4-1)*7</f>
        <v/>
      </c>
      <c r="P3" s="50">
        <f>$C$2+(P4-1)*7</f>
        <v/>
      </c>
      <c r="Q3" s="50">
        <f>$C$2+(Q4-1)*7</f>
        <v/>
      </c>
      <c r="R3" s="50">
        <f>$C$2+(R4-1)*7</f>
        <v/>
      </c>
      <c r="S3" s="50">
        <f>$C$2+(S4-1)*7</f>
        <v/>
      </c>
      <c r="T3" s="50">
        <f>$C$2+(T4-1)*7</f>
        <v/>
      </c>
      <c r="U3" s="50">
        <f>$C$2+(U4-1)*7</f>
        <v/>
      </c>
      <c r="V3" s="50">
        <f>$C$2+(V4-1)*7</f>
        <v/>
      </c>
      <c r="W3" s="50">
        <f>$C$2+(W4-1)*7</f>
        <v/>
      </c>
      <c r="X3" s="50">
        <f>$C$2+(X4-1)*7</f>
        <v/>
      </c>
      <c r="Y3" s="50">
        <f>$C$2+(Y4-1)*7</f>
        <v/>
      </c>
      <c r="Z3" s="50">
        <f>$C$2+(Z4-1)*7</f>
        <v/>
      </c>
      <c r="AA3" s="50">
        <f>$C$2+(AA4-1)*7</f>
        <v/>
      </c>
      <c r="AB3" s="50">
        <f>$C$2+(AB4-1)*7</f>
        <v/>
      </c>
      <c r="AC3" s="50">
        <f>$C$2+(AC4-1)*7</f>
        <v/>
      </c>
      <c r="AD3" s="50">
        <f>$C$2+(AD4-1)*7</f>
        <v/>
      </c>
      <c r="AE3" s="50">
        <f>$C$2+(AE4-1)*7</f>
        <v/>
      </c>
      <c r="AF3" s="50">
        <f>$C$2+(AF4-1)*7</f>
        <v/>
      </c>
      <c r="AG3" s="50">
        <f>$C$2+(AG4-1)*7</f>
        <v/>
      </c>
      <c r="AH3" s="50">
        <f>$C$2+(AH4-1)*7</f>
        <v/>
      </c>
      <c r="AI3" s="50">
        <f>$C$2+(AI4-1)*7</f>
        <v/>
      </c>
      <c r="AJ3" s="50">
        <f>$C$2+(AJ4-1)*7</f>
        <v/>
      </c>
      <c r="AK3" s="50">
        <f>$C$2+(AK4-1)*7</f>
        <v/>
      </c>
      <c r="AL3" s="50">
        <f>$C$2+(AL4-1)*7</f>
        <v/>
      </c>
      <c r="AM3" s="50">
        <f>$C$2+(AM4-1)*7</f>
        <v/>
      </c>
      <c r="AN3" s="50">
        <f>$C$2+(AN4-1)*7</f>
        <v/>
      </c>
      <c r="AO3" s="50">
        <f>$C$2+(AO4-1)*7</f>
        <v/>
      </c>
      <c r="AP3" s="50">
        <f>$C$2+(AP4-1)*7</f>
        <v/>
      </c>
      <c r="AQ3" s="50">
        <f>$C$2+(AQ4-1)*7</f>
        <v/>
      </c>
      <c r="AR3" s="50">
        <f>$C$2+(AR4-1)*7</f>
        <v/>
      </c>
      <c r="AS3" s="51" t="inlineStr">
        <is>
          <t>交付物／里程碑・Gate 標準</t>
        </is>
      </c>
      <c r="AT3" s="51" t="inlineStr">
        <is>
          <t>作品執行狀態</t>
        </is>
      </c>
    </row>
    <row r="4" ht="32" customHeight="1">
      <c r="A4" s="52" t="n"/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3" t="n">
        <v>1</v>
      </c>
      <c r="M4" s="53" t="n">
        <v>2</v>
      </c>
      <c r="N4" s="53" t="n">
        <v>3</v>
      </c>
      <c r="O4" s="53" t="n">
        <v>4</v>
      </c>
      <c r="P4" s="53" t="n">
        <v>5</v>
      </c>
      <c r="Q4" s="53" t="n">
        <v>6</v>
      </c>
      <c r="R4" s="53" t="n">
        <v>7</v>
      </c>
      <c r="S4" s="53" t="n">
        <v>8</v>
      </c>
      <c r="T4" s="53" t="n">
        <v>9</v>
      </c>
      <c r="U4" s="53" t="n">
        <v>10</v>
      </c>
      <c r="V4" s="53" t="n">
        <v>11</v>
      </c>
      <c r="W4" s="53" t="n">
        <v>12</v>
      </c>
      <c r="X4" s="53" t="n">
        <v>13</v>
      </c>
      <c r="Y4" s="53" t="n">
        <v>14</v>
      </c>
      <c r="Z4" s="53" t="n">
        <v>15</v>
      </c>
      <c r="AA4" s="53" t="n">
        <v>16</v>
      </c>
      <c r="AB4" s="53" t="n">
        <v>17</v>
      </c>
      <c r="AC4" s="53" t="n">
        <v>18</v>
      </c>
      <c r="AD4" s="53" t="n">
        <v>19</v>
      </c>
      <c r="AE4" s="53" t="n">
        <v>20</v>
      </c>
      <c r="AF4" s="53" t="n">
        <v>21</v>
      </c>
      <c r="AG4" s="53" t="n">
        <v>22</v>
      </c>
      <c r="AH4" s="53" t="n">
        <v>23</v>
      </c>
      <c r="AI4" s="53" t="n">
        <v>24</v>
      </c>
      <c r="AJ4" s="53" t="n">
        <v>25</v>
      </c>
      <c r="AK4" s="53" t="n">
        <v>26</v>
      </c>
      <c r="AL4" s="53" t="n">
        <v>27</v>
      </c>
      <c r="AM4" s="53" t="n">
        <v>28</v>
      </c>
      <c r="AN4" s="53" t="n">
        <v>29</v>
      </c>
      <c r="AO4" s="53" t="n">
        <v>30</v>
      </c>
      <c r="AP4" s="53" t="n">
        <v>31</v>
      </c>
      <c r="AQ4" s="53" t="n">
        <v>32</v>
      </c>
      <c r="AR4" s="53" t="n">
        <v>33</v>
      </c>
      <c r="AS4" s="1" t="n"/>
      <c r="AT4" s="1" t="n"/>
    </row>
    <row r="5">
      <c r="A5" s="18" t="inlineStr">
        <is>
          <t>①</t>
        </is>
      </c>
      <c r="B5" s="18" t="inlineStr">
        <is>
          <t>①</t>
        </is>
      </c>
      <c r="C5" s="17" t="inlineStr">
        <is>
          <t>① 現況 MSA 與規範制定</t>
        </is>
      </c>
      <c r="D5" s="18" t="inlineStr">
        <is>
          <t>階段</t>
        </is>
      </c>
      <c r="E5" s="18" t="inlineStr">
        <is>
          <t>專案專員</t>
        </is>
      </c>
      <c r="F5" s="18">
        <f>MIN(F6:F12)</f>
        <v/>
      </c>
      <c r="G5" s="18">
        <f>H5-F5+1</f>
        <v/>
      </c>
      <c r="H5" s="18">
        <f>MAX(H6:H12)</f>
        <v/>
      </c>
      <c r="I5" s="54">
        <f>$C$2+(F5-1)*7</f>
        <v/>
      </c>
      <c r="J5" s="54">
        <f>$C$2+(H5-1)*7+4</f>
        <v/>
      </c>
      <c r="K5" s="55" t="inlineStr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5" t="inlineStr"/>
      <c r="AT5" s="57" t="inlineStr">
        <is>
          <t>模擬示範（部分）</t>
        </is>
      </c>
    </row>
    <row r="6" ht="30" customHeight="1">
      <c r="A6" s="26" t="inlineStr">
        <is>
          <t>1.1</t>
        </is>
      </c>
      <c r="B6" s="26" t="inlineStr">
        <is>
          <t>①</t>
        </is>
      </c>
      <c r="C6" s="15" t="inlineStr">
        <is>
          <t>專案啟動會議、章程與 KPI 簽核</t>
        </is>
      </c>
      <c r="D6" s="26" t="inlineStr">
        <is>
          <t>任務</t>
        </is>
      </c>
      <c r="E6" s="26" t="inlineStr">
        <is>
          <t>專案專員</t>
        </is>
      </c>
      <c r="F6" s="58" t="n">
        <v>1</v>
      </c>
      <c r="G6" s="58" t="n">
        <v>1</v>
      </c>
      <c r="H6" s="26">
        <f>F6+G6-1</f>
        <v/>
      </c>
      <c r="I6" s="59">
        <f>$C$2+(F6-1)*7</f>
        <v/>
      </c>
      <c r="J6" s="59">
        <f>$C$2+(H6-1)*7+4</f>
        <v/>
      </c>
      <c r="K6" s="26" t="inlineStr">
        <is>
          <t>—</t>
        </is>
      </c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6" t="n"/>
      <c r="AQ6" s="56" t="n"/>
      <c r="AR6" s="56" t="n"/>
      <c r="AS6" s="15" t="inlineStr">
        <is>
          <t>專案章程 v1.0 簽核</t>
        </is>
      </c>
      <c r="AT6" s="26" t="inlineStr">
        <is>
          <t>規劃・未執行</t>
        </is>
      </c>
    </row>
    <row r="7" ht="30" customHeight="1">
      <c r="A7" s="26" t="inlineStr">
        <is>
          <t>1.2</t>
        </is>
      </c>
      <c r="B7" s="26" t="inlineStr">
        <is>
          <t>①</t>
        </is>
      </c>
      <c r="C7" s="15" t="inlineStr">
        <is>
          <t>現行人工目檢流程盤點（站點、班別、OI、判定紀錄方式）</t>
        </is>
      </c>
      <c r="D7" s="26" t="inlineStr">
        <is>
          <t>任務</t>
        </is>
      </c>
      <c r="E7" s="26" t="inlineStr">
        <is>
          <t>生產/製造</t>
        </is>
      </c>
      <c r="F7" s="58" t="n">
        <v>2</v>
      </c>
      <c r="G7" s="58" t="n">
        <v>2</v>
      </c>
      <c r="H7" s="26">
        <f>F7+G7-1</f>
        <v/>
      </c>
      <c r="I7" s="59">
        <f>$C$2+(F7-1)*7</f>
        <v/>
      </c>
      <c r="J7" s="59">
        <f>$C$2+(H7-1)*7+4</f>
        <v/>
      </c>
      <c r="K7" s="26" t="inlineStr">
        <is>
          <t>1.1</t>
        </is>
      </c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56" t="n"/>
      <c r="AR7" s="56" t="n"/>
      <c r="AS7" s="15" t="inlineStr">
        <is>
          <t>現況流程圖、判定紀錄樣本</t>
        </is>
      </c>
      <c r="AT7" s="26" t="inlineStr">
        <is>
          <t>規劃・未執行</t>
        </is>
      </c>
    </row>
    <row r="8" ht="36" customHeight="1">
      <c r="A8" s="26" t="inlineStr">
        <is>
          <t>1.3</t>
        </is>
      </c>
      <c r="B8" s="26" t="inlineStr">
        <is>
          <t>①</t>
        </is>
      </c>
      <c r="C8" s="15" t="inlineStr">
        <is>
          <t>QA 自產線挑選標準樣本並量測確認標準答案（≥ 50 顆，含邊界樣本）</t>
        </is>
      </c>
      <c r="D8" s="26" t="inlineStr">
        <is>
          <t>任務</t>
        </is>
      </c>
      <c r="E8" s="26" t="inlineStr">
        <is>
          <t>QA/品保</t>
        </is>
      </c>
      <c r="F8" s="58" t="n">
        <v>2</v>
      </c>
      <c r="G8" s="58" t="n">
        <v>3</v>
      </c>
      <c r="H8" s="26">
        <f>F8+G8-1</f>
        <v/>
      </c>
      <c r="I8" s="59">
        <f>$C$2+(F8-1)*7</f>
        <v/>
      </c>
      <c r="J8" s="59">
        <f>$C$2+(H8-1)*7+4</f>
        <v/>
      </c>
      <c r="K8" s="26" t="inlineStr">
        <is>
          <t>1.1</t>
        </is>
      </c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6" t="n"/>
      <c r="AQ8" s="56" t="n"/>
      <c r="AR8" s="56" t="n"/>
      <c r="AS8" s="15" t="inlineStr">
        <is>
          <t>標準樣本集清單＋標準答案（含缺陷分類、尺寸、檢驗區域）</t>
        </is>
      </c>
      <c r="AT8" s="57" t="inlineStr">
        <is>
          <t>模擬示範（半合成樣本）</t>
        </is>
      </c>
    </row>
    <row r="9" ht="30" customHeight="1">
      <c r="A9" s="26" t="inlineStr">
        <is>
          <t>1.4</t>
        </is>
      </c>
      <c r="B9" s="26" t="inlineStr">
        <is>
          <t>①</t>
        </is>
      </c>
      <c r="C9" s="15" t="inlineStr">
        <is>
          <t>缺陷分類表與允收標準草案（對齊客戶規格）</t>
        </is>
      </c>
      <c r="D9" s="26" t="inlineStr">
        <is>
          <t>任務</t>
        </is>
      </c>
      <c r="E9" s="26" t="inlineStr">
        <is>
          <t>QA/品保</t>
        </is>
      </c>
      <c r="F9" s="58" t="n">
        <v>4</v>
      </c>
      <c r="G9" s="58" t="n">
        <v>2</v>
      </c>
      <c r="H9" s="26">
        <f>F9+G9-1</f>
        <v/>
      </c>
      <c r="I9" s="59">
        <f>$C$2+(F9-1)*7</f>
        <v/>
      </c>
      <c r="J9" s="59">
        <f>$C$2+(H9-1)*7+4</f>
        <v/>
      </c>
      <c r="K9" s="26" t="inlineStr">
        <is>
          <t>1.2</t>
        </is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56" t="n"/>
      <c r="AR9" s="56" t="n"/>
      <c r="AS9" s="15" t="inlineStr">
        <is>
          <t>檢驗規範草案</t>
        </is>
      </c>
      <c r="AT9" s="57" t="inlineStr">
        <is>
          <t>模擬示範（規範 v1）</t>
        </is>
      </c>
    </row>
    <row r="10" ht="64" customHeight="1">
      <c r="A10" s="26" t="inlineStr">
        <is>
          <t>1.5</t>
        </is>
      </c>
      <c r="B10" s="26" t="inlineStr">
        <is>
          <t>①</t>
        </is>
      </c>
      <c r="C10" s="15" t="inlineStr">
        <is>
          <t>現況人工判讀一致性分析（3 位檢驗員 × 2 輪，依現行規範）</t>
        </is>
      </c>
      <c r="D10" s="26" t="inlineStr">
        <is>
          <t>任務</t>
        </is>
      </c>
      <c r="E10" s="26" t="inlineStr">
        <is>
          <t>QA/品保</t>
        </is>
      </c>
      <c r="F10" s="58" t="n">
        <v>5</v>
      </c>
      <c r="G10" s="58" t="n">
        <v>1</v>
      </c>
      <c r="H10" s="26">
        <f>F10+G10-1</f>
        <v/>
      </c>
      <c r="I10" s="59">
        <f>$C$2+(F10-1)*7</f>
        <v/>
      </c>
      <c r="J10" s="59">
        <f>$C$2+(H10-1)*7+4</f>
        <v/>
      </c>
      <c r="K10" s="26" t="inlineStr">
        <is>
          <t>1.3</t>
        </is>
      </c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15" t="inlineStr">
        <is>
          <t>人工基準線。PoC 以作者本人照規範判兩輪示範（79 筆）：每顆 34.9 秒、漏判率 23.5%、對標準答案一致率 70.9%、重複性 87.2%、誤判率 2.3%（實際導入須以 3 位檢驗員重測）</t>
        </is>
      </c>
      <c r="AT10" s="57" t="inlineStr">
        <is>
          <t>模擬示範（作者本人）</t>
        </is>
      </c>
    </row>
    <row r="11" ht="30" customHeight="1">
      <c r="A11" s="26" t="inlineStr">
        <is>
          <t>1.6</t>
        </is>
      </c>
      <c r="B11" s="26" t="inlineStr">
        <is>
          <t>①</t>
        </is>
      </c>
      <c r="C11" s="15" t="inlineStr">
        <is>
          <t>影像擷取條件定義（光源、倍率、5 µm/px 校正）＋光源治具請購</t>
        </is>
      </c>
      <c r="D11" s="26" t="inlineStr">
        <is>
          <t>任務</t>
        </is>
      </c>
      <c r="E11" s="26" t="inlineStr">
        <is>
          <t>設備工程</t>
        </is>
      </c>
      <c r="F11" s="58" t="n">
        <v>3</v>
      </c>
      <c r="G11" s="58" t="n">
        <v>3</v>
      </c>
      <c r="H11" s="26">
        <f>F11+G11-1</f>
        <v/>
      </c>
      <c r="I11" s="59">
        <f>$C$2+(F11-1)*7</f>
        <v/>
      </c>
      <c r="J11" s="59">
        <f>$C$2+(H11-1)*7+4</f>
        <v/>
      </c>
      <c r="K11" s="26" t="inlineStr">
        <is>
          <t>1.1</t>
        </is>
      </c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15" t="inlineStr">
        <is>
          <t>取像條件規格書、治具請購單</t>
        </is>
      </c>
      <c r="AT11" s="26" t="inlineStr">
        <is>
          <t>規劃・未執行</t>
        </is>
      </c>
    </row>
    <row r="12" ht="50" customHeight="1">
      <c r="A12" s="26" t="inlineStr">
        <is>
          <t>1.7</t>
        </is>
      </c>
      <c r="B12" s="26" t="inlineStr">
        <is>
          <t>①</t>
        </is>
      </c>
      <c r="C12" s="60" t="inlineStr">
        <is>
          <t>Gate ①→②：規範審查會議與檢驗規範 v1 發行</t>
        </is>
      </c>
      <c r="D12" s="61" t="inlineStr">
        <is>
          <t>Gate</t>
        </is>
      </c>
      <c r="E12" s="26" t="inlineStr">
        <is>
          <t>專案專員</t>
        </is>
      </c>
      <c r="F12" s="58" t="n">
        <v>6</v>
      </c>
      <c r="G12" s="58" t="n">
        <v>1</v>
      </c>
      <c r="H12" s="26">
        <f>F12+G12-1</f>
        <v/>
      </c>
      <c r="I12" s="59">
        <f>$C$2+(F12-1)*7</f>
        <v/>
      </c>
      <c r="J12" s="59">
        <f>$C$2+(H12-1)*7+4</f>
        <v/>
      </c>
      <c r="K12" s="26" t="inlineStr">
        <is>
          <t>1.4, 1.5</t>
        </is>
      </c>
      <c r="L12" s="56">
        <f>IF(L$4=$H12,"◆","")</f>
        <v/>
      </c>
      <c r="M12" s="56">
        <f>IF(M$4=$H12,"◆","")</f>
        <v/>
      </c>
      <c r="N12" s="56">
        <f>IF(N$4=$H12,"◆","")</f>
        <v/>
      </c>
      <c r="O12" s="56">
        <f>IF(O$4=$H12,"◆","")</f>
        <v/>
      </c>
      <c r="P12" s="56">
        <f>IF(P$4=$H12,"◆","")</f>
        <v/>
      </c>
      <c r="Q12" s="56">
        <f>IF(Q$4=$H12,"◆","")</f>
        <v/>
      </c>
      <c r="R12" s="56">
        <f>IF(R$4=$H12,"◆","")</f>
        <v/>
      </c>
      <c r="S12" s="56">
        <f>IF(S$4=$H12,"◆","")</f>
        <v/>
      </c>
      <c r="T12" s="56">
        <f>IF(T$4=$H12,"◆","")</f>
        <v/>
      </c>
      <c r="U12" s="56">
        <f>IF(U$4=$H12,"◆","")</f>
        <v/>
      </c>
      <c r="V12" s="56">
        <f>IF(V$4=$H12,"◆","")</f>
        <v/>
      </c>
      <c r="W12" s="56">
        <f>IF(W$4=$H12,"◆","")</f>
        <v/>
      </c>
      <c r="X12" s="56">
        <f>IF(X$4=$H12,"◆","")</f>
        <v/>
      </c>
      <c r="Y12" s="56">
        <f>IF(Y$4=$H12,"◆","")</f>
        <v/>
      </c>
      <c r="Z12" s="56">
        <f>IF(Z$4=$H12,"◆","")</f>
        <v/>
      </c>
      <c r="AA12" s="56">
        <f>IF(AA$4=$H12,"◆","")</f>
        <v/>
      </c>
      <c r="AB12" s="56">
        <f>IF(AB$4=$H12,"◆","")</f>
        <v/>
      </c>
      <c r="AC12" s="56">
        <f>IF(AC$4=$H12,"◆","")</f>
        <v/>
      </c>
      <c r="AD12" s="56">
        <f>IF(AD$4=$H12,"◆","")</f>
        <v/>
      </c>
      <c r="AE12" s="56">
        <f>IF(AE$4=$H12,"◆","")</f>
        <v/>
      </c>
      <c r="AF12" s="56">
        <f>IF(AF$4=$H12,"◆","")</f>
        <v/>
      </c>
      <c r="AG12" s="56">
        <f>IF(AG$4=$H12,"◆","")</f>
        <v/>
      </c>
      <c r="AH12" s="56">
        <f>IF(AH$4=$H12,"◆","")</f>
        <v/>
      </c>
      <c r="AI12" s="56">
        <f>IF(AI$4=$H12,"◆","")</f>
        <v/>
      </c>
      <c r="AJ12" s="56">
        <f>IF(AJ$4=$H12,"◆","")</f>
        <v/>
      </c>
      <c r="AK12" s="56">
        <f>IF(AK$4=$H12,"◆","")</f>
        <v/>
      </c>
      <c r="AL12" s="56">
        <f>IF(AL$4=$H12,"◆","")</f>
        <v/>
      </c>
      <c r="AM12" s="56">
        <f>IF(AM$4=$H12,"◆","")</f>
        <v/>
      </c>
      <c r="AN12" s="56">
        <f>IF(AN$4=$H12,"◆","")</f>
        <v/>
      </c>
      <c r="AO12" s="56">
        <f>IF(AO$4=$H12,"◆","")</f>
        <v/>
      </c>
      <c r="AP12" s="56">
        <f>IF(AP$4=$H12,"◆","")</f>
        <v/>
      </c>
      <c r="AQ12" s="56">
        <f>IF(AQ$4=$H12,"◆","")</f>
        <v/>
      </c>
      <c r="AR12" s="56">
        <f>IF(AR$4=$H12,"◆","")</f>
        <v/>
      </c>
      <c r="AS12" s="34" t="inlineStr">
        <is>
          <t>Gate 標準：檢驗規範 v1 經 QA/製程/製造簽核發行；現況 MSA 基準線建立；標準樣本集經 QA 簽核</t>
        </is>
      </c>
      <c r="AT12" s="57" t="inlineStr">
        <is>
          <t>模擬示範（規範 v1）</t>
        </is>
      </c>
    </row>
    <row r="13">
      <c r="A13" s="62" t="inlineStr">
        <is>
          <t>②</t>
        </is>
      </c>
      <c r="B13" s="62" t="inlineStr">
        <is>
          <t>②</t>
        </is>
      </c>
      <c r="C13" s="19" t="inlineStr">
        <is>
          <t>② PoC 驗證（v1 未通過 → 規範 v2 重跑）</t>
        </is>
      </c>
      <c r="D13" s="62" t="inlineStr">
        <is>
          <t>階段</t>
        </is>
      </c>
      <c r="E13" s="62" t="inlineStr">
        <is>
          <t>專案專員</t>
        </is>
      </c>
      <c r="F13" s="62">
        <f>MIN(F14:F25)</f>
        <v/>
      </c>
      <c r="G13" s="62">
        <f>H13-F13+1</f>
        <v/>
      </c>
      <c r="H13" s="62">
        <f>MAX(H14:H25)</f>
        <v/>
      </c>
      <c r="I13" s="63">
        <f>$C$2+(F13-1)*7</f>
        <v/>
      </c>
      <c r="J13" s="63">
        <f>$C$2+(H13-1)*7+4</f>
        <v/>
      </c>
      <c r="K13" s="64" t="inlineStr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64" t="inlineStr"/>
      <c r="AT13" s="37" t="inlineStr">
        <is>
          <t>v1 未通過・v2 已重跑（Gate 未通過）</t>
        </is>
      </c>
    </row>
    <row r="14" ht="30" customHeight="1">
      <c r="A14" s="26" t="inlineStr">
        <is>
          <t>2.1</t>
        </is>
      </c>
      <c r="B14" s="26" t="inlineStr">
        <is>
          <t>②</t>
        </is>
      </c>
      <c r="C14" s="15" t="inlineStr">
        <is>
          <t>資安評估：影像去識別化、雲端 AI 服務資料留存條款／地端方案比較</t>
        </is>
      </c>
      <c r="D14" s="26" t="inlineStr">
        <is>
          <t>任務</t>
        </is>
      </c>
      <c r="E14" s="26" t="inlineStr">
        <is>
          <t>IT/MES</t>
        </is>
      </c>
      <c r="F14" s="58" t="n">
        <v>2</v>
      </c>
      <c r="G14" s="58" t="n">
        <v>4</v>
      </c>
      <c r="H14" s="26">
        <f>F14+G14-1</f>
        <v/>
      </c>
      <c r="I14" s="59">
        <f>$C$2+(F14-1)*7</f>
        <v/>
      </c>
      <c r="J14" s="59">
        <f>$C$2+(H14-1)*7+4</f>
        <v/>
      </c>
      <c r="K14" s="26" t="inlineStr">
        <is>
          <t>1.1</t>
        </is>
      </c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15" t="inlineStr">
        <is>
          <t>資安評估報告與核准紀錄</t>
        </is>
      </c>
      <c r="AT14" s="26" t="inlineStr">
        <is>
          <t>規劃・未執行</t>
        </is>
      </c>
    </row>
    <row r="15" ht="36" customHeight="1">
      <c r="A15" s="26" t="inlineStr">
        <is>
          <t>2.2</t>
        </is>
      </c>
      <c r="B15" s="26" t="inlineStr">
        <is>
          <t>②</t>
        </is>
      </c>
      <c r="C15" s="15" t="inlineStr">
        <is>
          <t>PoC 環境建置（AI 辨識缺陷分類＋規則推導判定、記錄規範版本）</t>
        </is>
      </c>
      <c r="D15" s="26" t="inlineStr">
        <is>
          <t>任務</t>
        </is>
      </c>
      <c r="E15" s="26" t="inlineStr">
        <is>
          <t>專案專員</t>
        </is>
      </c>
      <c r="F15" s="58" t="n">
        <v>6</v>
      </c>
      <c r="G15" s="58" t="n">
        <v>2</v>
      </c>
      <c r="H15" s="26">
        <f>F15+G15-1</f>
        <v/>
      </c>
      <c r="I15" s="59">
        <f>$C$2+(F15-1)*7</f>
        <v/>
      </c>
      <c r="J15" s="59">
        <f>$C$2+(H15-1)*7+4</f>
        <v/>
      </c>
      <c r="K15" s="26" t="inlineStr">
        <is>
          <t>1.6, 2.1</t>
        </is>
      </c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15" t="inlineStr">
        <is>
          <t>可離線執行之 PoC；判定附推導依據與 specVersion</t>
        </is>
      </c>
      <c r="AT15" s="35" t="inlineStr">
        <is>
          <t>已完成（模擬）</t>
        </is>
      </c>
    </row>
    <row r="16" ht="78" customHeight="1">
      <c r="A16" s="26" t="inlineStr">
        <is>
          <t>2.3</t>
        </is>
      </c>
      <c r="B16" s="26" t="inlineStr">
        <is>
          <t>②</t>
        </is>
      </c>
      <c r="C16" s="15" t="inlineStr">
        <is>
          <t>標準樣本集 AI 一致性分析（規範 v1）</t>
        </is>
      </c>
      <c r="D16" s="26" t="inlineStr">
        <is>
          <t>任務</t>
        </is>
      </c>
      <c r="E16" s="26" t="inlineStr">
        <is>
          <t>專案專員</t>
        </is>
      </c>
      <c r="F16" s="58" t="n">
        <v>8</v>
      </c>
      <c r="G16" s="58" t="n">
        <v>1</v>
      </c>
      <c r="H16" s="26">
        <f>F16+G16-1</f>
        <v/>
      </c>
      <c r="I16" s="59">
        <f>$C$2+(F16-1)*7</f>
        <v/>
      </c>
      <c r="J16" s="59">
        <f>$C$2+(H16-1)*7+4</f>
        <v/>
      </c>
      <c r="K16" s="26" t="inlineStr">
        <is>
          <t>2.2, 1.7</t>
        </is>
      </c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65" t="inlineStr">
        <is>
          <t>結果（模擬，120 筆）：漏判率 37.0%、評估者間一致率 60.0%、對標準答案一致率 60.8%、誤判率 3.0%、人工複判率 23.3%；第 2 次判定補跑後重複性 77.5%（改善前 85.8%）→ 未達標</t>
        </is>
      </c>
      <c r="AT16" s="37" t="inlineStr">
        <is>
          <t>完成・未達標</t>
        </is>
      </c>
    </row>
    <row r="17" ht="64" customHeight="1">
      <c r="A17" s="26" t="inlineStr">
        <is>
          <t>2.4</t>
        </is>
      </c>
      <c r="B17" s="26" t="inlineStr">
        <is>
          <t>②</t>
        </is>
      </c>
      <c r="C17" s="15" t="inlineStr">
        <is>
          <t>判讀差異檢討與根因分析（PDCA Check）</t>
        </is>
      </c>
      <c r="D17" s="26" t="inlineStr">
        <is>
          <t>任務</t>
        </is>
      </c>
      <c r="E17" s="26" t="inlineStr">
        <is>
          <t>QA/品保</t>
        </is>
      </c>
      <c r="F17" s="58" t="n">
        <v>9</v>
      </c>
      <c r="G17" s="58" t="n">
        <v>1</v>
      </c>
      <c r="H17" s="26">
        <f>F17+G17-1</f>
        <v/>
      </c>
      <c r="I17" s="59">
        <f>$C$2+(F17-1)*7</f>
        <v/>
      </c>
      <c r="J17" s="59">
        <f>$C$2+(H17-1)*7+4</f>
        <v/>
      </c>
      <c r="K17" s="26" t="inlineStr">
        <is>
          <t>2.3</t>
        </is>
      </c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15" t="inlineStr">
        <is>
          <t>根因為 AI 偵測能力，非標準不一：CHP 偵出率 14.8%、CRK 0%（被報成 SCR/CHP）；尺寸系統偏差（CHP −65%、CON −57%、SCR +47%）</t>
        </is>
      </c>
      <c r="AT17" s="35" t="inlineStr">
        <is>
          <t>已完成（模擬）</t>
        </is>
      </c>
    </row>
    <row r="18" ht="36" customHeight="1">
      <c r="A18" s="26" t="inlineStr">
        <is>
          <t>2.5</t>
        </is>
      </c>
      <c r="B18" s="26" t="inlineStr">
        <is>
          <t>②</t>
        </is>
      </c>
      <c r="C18" s="15" t="inlineStr">
        <is>
          <t>p 管制圖判異規則驗證（25 批漂移情境模擬）</t>
        </is>
      </c>
      <c r="D18" s="26" t="inlineStr">
        <is>
          <t>任務</t>
        </is>
      </c>
      <c r="E18" s="26" t="inlineStr">
        <is>
          <t>製程工程</t>
        </is>
      </c>
      <c r="F18" s="58" t="n">
        <v>8</v>
      </c>
      <c r="G18" s="58" t="n">
        <v>2</v>
      </c>
      <c r="H18" s="26">
        <f>F18+G18-1</f>
        <v/>
      </c>
      <c r="I18" s="59">
        <f>$C$2+(F18-1)*7</f>
        <v/>
      </c>
      <c r="J18" s="59">
        <f>$C$2+(H18-1)*7+4</f>
        <v/>
      </c>
      <c r="K18" s="26" t="inlineStr">
        <is>
          <t>2.2</t>
        </is>
      </c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65" t="inlineStr">
        <is>
          <t>結果：首次預警＝首次異常＝L24，提早 0 批（目標 ≥ 2 批，未達標）；無人工複判時漂移完全未被偵出</t>
        </is>
      </c>
      <c r="AT18" s="37" t="inlineStr">
        <is>
          <t>完成・未達標</t>
        </is>
      </c>
    </row>
    <row r="19" ht="30" customHeight="1">
      <c r="A19" s="26" t="inlineStr">
        <is>
          <t>2.6</t>
        </is>
      </c>
      <c r="B19" s="26" t="inlineStr">
        <is>
          <t>②</t>
        </is>
      </c>
      <c r="C19" s="15" t="inlineStr">
        <is>
          <t>異常處置單範本與 AI 草擬流程（人確認後送出、通知名單）</t>
        </is>
      </c>
      <c r="D19" s="26" t="inlineStr">
        <is>
          <t>任務</t>
        </is>
      </c>
      <c r="E19" s="26" t="inlineStr">
        <is>
          <t>製程工程</t>
        </is>
      </c>
      <c r="F19" s="58" t="n">
        <v>10</v>
      </c>
      <c r="G19" s="58" t="n">
        <v>1</v>
      </c>
      <c r="H19" s="26">
        <f>F19+G19-1</f>
        <v/>
      </c>
      <c r="I19" s="59">
        <f>$C$2+(F19-1)*7</f>
        <v/>
      </c>
      <c r="J19" s="59">
        <f>$C$2+(H19-1)*7+4</f>
        <v/>
      </c>
      <c r="K19" s="26" t="inlineStr">
        <is>
          <t>2.5</t>
        </is>
      </c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15" t="inlineStr">
        <is>
          <t>異常處置單範本、通知矩陣</t>
        </is>
      </c>
      <c r="AT19" s="26" t="inlineStr">
        <is>
          <t>規劃・未執行</t>
        </is>
      </c>
    </row>
    <row r="20" ht="64" customHeight="1">
      <c r="A20" s="26" t="inlineStr">
        <is>
          <t>2.7</t>
        </is>
      </c>
      <c r="B20" s="26" t="inlineStr">
        <is>
          <t>②</t>
        </is>
      </c>
      <c r="C20" s="60" t="inlineStr">
        <is>
          <t>Gate ②→③（規範 v1）：PoC 審查</t>
        </is>
      </c>
      <c r="D20" s="61" t="inlineStr">
        <is>
          <t>Gate</t>
        </is>
      </c>
      <c r="E20" s="26" t="inlineStr">
        <is>
          <t>專案專員</t>
        </is>
      </c>
      <c r="F20" s="58" t="n">
        <v>11</v>
      </c>
      <c r="G20" s="58" t="n">
        <v>1</v>
      </c>
      <c r="H20" s="26">
        <f>F20+G20-1</f>
        <v/>
      </c>
      <c r="I20" s="59">
        <f>$C$2+(F20-1)*7</f>
        <v/>
      </c>
      <c r="J20" s="59">
        <f>$C$2+(H20-1)*7+4</f>
        <v/>
      </c>
      <c r="K20" s="26" t="inlineStr">
        <is>
          <t>2.4, 2.6</t>
        </is>
      </c>
      <c r="L20" s="56">
        <f>IF(L$4=$H20,"◆","")</f>
        <v/>
      </c>
      <c r="M20" s="56">
        <f>IF(M$4=$H20,"◆","")</f>
        <v/>
      </c>
      <c r="N20" s="56">
        <f>IF(N$4=$H20,"◆","")</f>
        <v/>
      </c>
      <c r="O20" s="56">
        <f>IF(O$4=$H20,"◆","")</f>
        <v/>
      </c>
      <c r="P20" s="56">
        <f>IF(P$4=$H20,"◆","")</f>
        <v/>
      </c>
      <c r="Q20" s="56">
        <f>IF(Q$4=$H20,"◆","")</f>
        <v/>
      </c>
      <c r="R20" s="56">
        <f>IF(R$4=$H20,"◆","")</f>
        <v/>
      </c>
      <c r="S20" s="56">
        <f>IF(S$4=$H20,"◆","")</f>
        <v/>
      </c>
      <c r="T20" s="56">
        <f>IF(T$4=$H20,"◆","")</f>
        <v/>
      </c>
      <c r="U20" s="56">
        <f>IF(U$4=$H20,"◆","")</f>
        <v/>
      </c>
      <c r="V20" s="56">
        <f>IF(V$4=$H20,"◆","")</f>
        <v/>
      </c>
      <c r="W20" s="56">
        <f>IF(W$4=$H20,"◆","")</f>
        <v/>
      </c>
      <c r="X20" s="56">
        <f>IF(X$4=$H20,"◆","")</f>
        <v/>
      </c>
      <c r="Y20" s="56">
        <f>IF(Y$4=$H20,"◆","")</f>
        <v/>
      </c>
      <c r="Z20" s="56">
        <f>IF(Z$4=$H20,"◆","")</f>
        <v/>
      </c>
      <c r="AA20" s="56">
        <f>IF(AA$4=$H20,"◆","")</f>
        <v/>
      </c>
      <c r="AB20" s="56">
        <f>IF(AB$4=$H20,"◆","")</f>
        <v/>
      </c>
      <c r="AC20" s="56">
        <f>IF(AC$4=$H20,"◆","")</f>
        <v/>
      </c>
      <c r="AD20" s="56">
        <f>IF(AD$4=$H20,"◆","")</f>
        <v/>
      </c>
      <c r="AE20" s="56">
        <f>IF(AE$4=$H20,"◆","")</f>
        <v/>
      </c>
      <c r="AF20" s="56">
        <f>IF(AF$4=$H20,"◆","")</f>
        <v/>
      </c>
      <c r="AG20" s="56">
        <f>IF(AG$4=$H20,"◆","")</f>
        <v/>
      </c>
      <c r="AH20" s="56">
        <f>IF(AH$4=$H20,"◆","")</f>
        <v/>
      </c>
      <c r="AI20" s="56">
        <f>IF(AI$4=$H20,"◆","")</f>
        <v/>
      </c>
      <c r="AJ20" s="56">
        <f>IF(AJ$4=$H20,"◆","")</f>
        <v/>
      </c>
      <c r="AK20" s="56">
        <f>IF(AK$4=$H20,"◆","")</f>
        <v/>
      </c>
      <c r="AL20" s="56">
        <f>IF(AL$4=$H20,"◆","")</f>
        <v/>
      </c>
      <c r="AM20" s="56">
        <f>IF(AM$4=$H20,"◆","")</f>
        <v/>
      </c>
      <c r="AN20" s="56">
        <f>IF(AN$4=$H20,"◆","")</f>
        <v/>
      </c>
      <c r="AO20" s="56">
        <f>IF(AO$4=$H20,"◆","")</f>
        <v/>
      </c>
      <c r="AP20" s="56">
        <f>IF(AP$4=$H20,"◆","")</f>
        <v/>
      </c>
      <c r="AQ20" s="56">
        <f>IF(AQ$4=$H20,"◆","")</f>
        <v/>
      </c>
      <c r="AR20" s="56">
        <f>IF(AR$4=$H20,"◆","")</f>
        <v/>
      </c>
      <c r="AS20" s="65" t="inlineStr">
        <is>
          <t>結果：未通過。漏判率 37.0%（目標 ≤ 5%）、重複性 77.5%（目標 ≥ 90%）、預警提早 0 批。決議：不進入 ③；修訂規範 v2 並重跑 ②，③④ 順延 7 週</t>
        </is>
      </c>
      <c r="AT20" s="37" t="inlineStr">
        <is>
          <t>未通過</t>
        </is>
      </c>
    </row>
    <row r="21" ht="50" customHeight="1">
      <c r="A21" s="26" t="inlineStr">
        <is>
          <t>2.8</t>
        </is>
      </c>
      <c r="B21" s="26" t="inlineStr">
        <is>
          <t>②</t>
        </is>
      </c>
      <c r="C21" s="15" t="inlineStr">
        <is>
          <t>檢驗規範 v2 修訂（PDCA Act）：邊緣分塊放大檢查、以框選範圍換算尺寸、不確定一律送人工複判</t>
        </is>
      </c>
      <c r="D21" s="26" t="inlineStr">
        <is>
          <t>任務</t>
        </is>
      </c>
      <c r="E21" s="26" t="inlineStr">
        <is>
          <t>QA/品保</t>
        </is>
      </c>
      <c r="F21" s="58" t="n">
        <v>12</v>
      </c>
      <c r="G21" s="58" t="n">
        <v>2</v>
      </c>
      <c r="H21" s="26">
        <f>F21+G21-1</f>
        <v/>
      </c>
      <c r="I21" s="59">
        <f>$C$2+(F21-1)*7</f>
        <v/>
      </c>
      <c r="J21" s="59">
        <f>$C$2+(H21-1)*7+4</f>
        <v/>
      </c>
      <c r="K21" s="26" t="inlineStr">
        <is>
          <t>2.7</t>
        </is>
      </c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15" t="inlineStr">
        <is>
          <t>檢驗規範 v2（周邊區每邊 8 段 × 4 倍放大、核心區 4 象限；AI 只回缺陷代碼＋框選座標；線狀缺陷取嚴、≥ 4 顆 CON 送複判）</t>
        </is>
      </c>
      <c r="AT21" s="35" t="inlineStr">
        <is>
          <t>已完成（作品，2026-10-07）</t>
        </is>
      </c>
    </row>
    <row r="22" ht="30" customHeight="1">
      <c r="A22" s="26" t="inlineStr">
        <is>
          <t>2.9</t>
        </is>
      </c>
      <c r="B22" s="26" t="inlineStr">
        <is>
          <t>②</t>
        </is>
      </c>
      <c r="C22" s="15" t="inlineStr">
        <is>
          <t>v2 PoC 調整與成本重估（每顆約 36 次呼叫）、API 預算核准</t>
        </is>
      </c>
      <c r="D22" s="26" t="inlineStr">
        <is>
          <t>任務</t>
        </is>
      </c>
      <c r="E22" s="26" t="inlineStr">
        <is>
          <t>專案專員</t>
        </is>
      </c>
      <c r="F22" s="58" t="n">
        <v>14</v>
      </c>
      <c r="G22" s="58" t="n">
        <v>1</v>
      </c>
      <c r="H22" s="26">
        <f>F22+G22-1</f>
        <v/>
      </c>
      <c r="I22" s="59">
        <f>$C$2+(F22-1)*7</f>
        <v/>
      </c>
      <c r="J22" s="59">
        <f>$C$2+(H22-1)*7+4</f>
        <v/>
      </c>
      <c r="K22" s="26" t="inlineStr">
        <is>
          <t>2.8</t>
        </is>
      </c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15" t="inlineStr">
        <is>
          <t>v2 PoC、預算核准單</t>
        </is>
      </c>
      <c r="AT22" s="35" t="inlineStr">
        <is>
          <t>已完成（實際 US$9.55）</t>
        </is>
      </c>
    </row>
    <row r="23" ht="78" customHeight="1">
      <c r="A23" s="26" t="inlineStr">
        <is>
          <t>2.10</t>
        </is>
      </c>
      <c r="B23" s="26" t="inlineStr">
        <is>
          <t>②</t>
        </is>
      </c>
      <c r="C23" s="15" t="inlineStr">
        <is>
          <t>② 重跑：規範 v2 一致性分析（≥ 2 次判定，量測重複性）；作者本人兩輪判定已於 v1 完成，v2 沿用同一表單再做</t>
        </is>
      </c>
      <c r="D23" s="26" t="inlineStr">
        <is>
          <t>任務</t>
        </is>
      </c>
      <c r="E23" s="26" t="inlineStr">
        <is>
          <t>專案專員</t>
        </is>
      </c>
      <c r="F23" s="58" t="n">
        <v>15</v>
      </c>
      <c r="G23" s="58" t="n">
        <v>2</v>
      </c>
      <c r="H23" s="26">
        <f>F23+G23-1</f>
        <v/>
      </c>
      <c r="I23" s="59">
        <f>$C$2+(F23-1)*7</f>
        <v/>
      </c>
      <c r="J23" s="59">
        <f>$C$2+(H23-1)*7+4</f>
        <v/>
      </c>
      <c r="K23" s="26" t="inlineStr">
        <is>
          <t>2.9</t>
        </is>
      </c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15" t="inlineStr">
        <is>
          <t>結果（作品，240 筆）：漏判率 0%、重複性 92.5%、人工複判率 25.8% 達標；評估者間一致率 82.5%、對標準答案一致率 75.8%、誤判率 7.6% 未達；Fleiss' kappa 0.82。作者本人 v2 判定尚未重做</t>
        </is>
      </c>
      <c r="AT23" s="66" t="inlineStr">
        <is>
          <t>完成・部分達標</t>
        </is>
      </c>
    </row>
    <row r="24" ht="30" customHeight="1">
      <c r="A24" s="26" t="inlineStr">
        <is>
          <t>2.11</t>
        </is>
      </c>
      <c r="B24" s="26" t="inlineStr">
        <is>
          <t>②</t>
        </is>
      </c>
      <c r="C24" s="15" t="inlineStr">
        <is>
          <t>判異規則檢討與管制圖以 v2 實測誤差重新驗證</t>
        </is>
      </c>
      <c r="D24" s="26" t="inlineStr">
        <is>
          <t>任務</t>
        </is>
      </c>
      <c r="E24" s="26" t="inlineStr">
        <is>
          <t>製程工程</t>
        </is>
      </c>
      <c r="F24" s="58" t="n">
        <v>16</v>
      </c>
      <c r="G24" s="58" t="n">
        <v>2</v>
      </c>
      <c r="H24" s="26">
        <f>F24+G24-1</f>
        <v/>
      </c>
      <c r="I24" s="59">
        <f>$C$2+(F24-1)*7</f>
        <v/>
      </c>
      <c r="J24" s="59">
        <f>$C$2+(H24-1)*7+4</f>
        <v/>
      </c>
      <c r="K24" s="26" t="inlineStr">
        <is>
          <t>2.10 SS+1</t>
        </is>
      </c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15" t="inlineStr">
        <is>
          <t>判異規則修訂、預警提早批數</t>
        </is>
      </c>
      <c r="AT24" s="26" t="inlineStr">
        <is>
          <t>規劃・未執行</t>
        </is>
      </c>
    </row>
    <row r="25" ht="78" customHeight="1">
      <c r="A25" s="26" t="inlineStr">
        <is>
          <t>2.12</t>
        </is>
      </c>
      <c r="B25" s="26" t="inlineStr">
        <is>
          <t>②</t>
        </is>
      </c>
      <c r="C25" s="60" t="inlineStr">
        <is>
          <t>Gate ②→③（規範 v2）：PoC 重審</t>
        </is>
      </c>
      <c r="D25" s="61" t="inlineStr">
        <is>
          <t>Gate</t>
        </is>
      </c>
      <c r="E25" s="26" t="inlineStr">
        <is>
          <t>專案專員</t>
        </is>
      </c>
      <c r="F25" s="58" t="n">
        <v>18</v>
      </c>
      <c r="G25" s="58" t="n">
        <v>1</v>
      </c>
      <c r="H25" s="26">
        <f>F25+G25-1</f>
        <v/>
      </c>
      <c r="I25" s="59">
        <f>$C$2+(F25-1)*7</f>
        <v/>
      </c>
      <c r="J25" s="59">
        <f>$C$2+(H25-1)*7+4</f>
        <v/>
      </c>
      <c r="K25" s="26" t="inlineStr">
        <is>
          <t>2.10, 2.11</t>
        </is>
      </c>
      <c r="L25" s="56">
        <f>IF(L$4=$H25,"◆","")</f>
        <v/>
      </c>
      <c r="M25" s="56">
        <f>IF(M$4=$H25,"◆","")</f>
        <v/>
      </c>
      <c r="N25" s="56">
        <f>IF(N$4=$H25,"◆","")</f>
        <v/>
      </c>
      <c r="O25" s="56">
        <f>IF(O$4=$H25,"◆","")</f>
        <v/>
      </c>
      <c r="P25" s="56">
        <f>IF(P$4=$H25,"◆","")</f>
        <v/>
      </c>
      <c r="Q25" s="56">
        <f>IF(Q$4=$H25,"◆","")</f>
        <v/>
      </c>
      <c r="R25" s="56">
        <f>IF(R$4=$H25,"◆","")</f>
        <v/>
      </c>
      <c r="S25" s="56">
        <f>IF(S$4=$H25,"◆","")</f>
        <v/>
      </c>
      <c r="T25" s="56">
        <f>IF(T$4=$H25,"◆","")</f>
        <v/>
      </c>
      <c r="U25" s="56">
        <f>IF(U$4=$H25,"◆","")</f>
        <v/>
      </c>
      <c r="V25" s="56">
        <f>IF(V$4=$H25,"◆","")</f>
        <v/>
      </c>
      <c r="W25" s="56">
        <f>IF(W$4=$H25,"◆","")</f>
        <v/>
      </c>
      <c r="X25" s="56">
        <f>IF(X$4=$H25,"◆","")</f>
        <v/>
      </c>
      <c r="Y25" s="56">
        <f>IF(Y$4=$H25,"◆","")</f>
        <v/>
      </c>
      <c r="Z25" s="56">
        <f>IF(Z$4=$H25,"◆","")</f>
        <v/>
      </c>
      <c r="AA25" s="56">
        <f>IF(AA$4=$H25,"◆","")</f>
        <v/>
      </c>
      <c r="AB25" s="56">
        <f>IF(AB$4=$H25,"◆","")</f>
        <v/>
      </c>
      <c r="AC25" s="56">
        <f>IF(AC$4=$H25,"◆","")</f>
        <v/>
      </c>
      <c r="AD25" s="56">
        <f>IF(AD$4=$H25,"◆","")</f>
        <v/>
      </c>
      <c r="AE25" s="56">
        <f>IF(AE$4=$H25,"◆","")</f>
        <v/>
      </c>
      <c r="AF25" s="56">
        <f>IF(AF$4=$H25,"◆","")</f>
        <v/>
      </c>
      <c r="AG25" s="56">
        <f>IF(AG$4=$H25,"◆","")</f>
        <v/>
      </c>
      <c r="AH25" s="56">
        <f>IF(AH$4=$H25,"◆","")</f>
        <v/>
      </c>
      <c r="AI25" s="56">
        <f>IF(AI$4=$H25,"◆","")</f>
        <v/>
      </c>
      <c r="AJ25" s="56">
        <f>IF(AJ$4=$H25,"◆","")</f>
        <v/>
      </c>
      <c r="AK25" s="56">
        <f>IF(AK$4=$H25,"◆","")</f>
        <v/>
      </c>
      <c r="AL25" s="56">
        <f>IF(AL$4=$H25,"◆","")</f>
        <v/>
      </c>
      <c r="AM25" s="56">
        <f>IF(AM$4=$H25,"◆","")</f>
        <v/>
      </c>
      <c r="AN25" s="56">
        <f>IF(AN$4=$H25,"◆","")</f>
        <v/>
      </c>
      <c r="AO25" s="56">
        <f>IF(AO$4=$H25,"◆","")</f>
        <v/>
      </c>
      <c r="AP25" s="56">
        <f>IF(AP$4=$H25,"◆","")</f>
        <v/>
      </c>
      <c r="AQ25" s="56">
        <f>IF(AQ$4=$H25,"◆","")</f>
        <v/>
      </c>
      <c r="AR25" s="56">
        <f>IF(AR$4=$H25,"◆","")</f>
        <v/>
      </c>
      <c r="AS25" s="65" t="inlineStr">
        <is>
          <t>Gate 標準：漏判率 ≤ 5%；重複性 ≥ 90%；人工複判率 ≤ 30%；評估者間一致率 ≥ 90%；預警提早 ≥ 2 批；資安核准；發起人簽核。作品現況：評估者間一致率 82.5%、誤判率 7.6% 未達、預警提早未重驗 → 未通過，轉規範 v2.1</t>
        </is>
      </c>
      <c r="AT25" s="37" t="inlineStr">
        <is>
          <t>作品現況：未通過</t>
        </is>
      </c>
    </row>
    <row r="26">
      <c r="A26" s="67" t="inlineStr">
        <is>
          <t>③</t>
        </is>
      </c>
      <c r="B26" s="67" t="inlineStr">
        <is>
          <t>③</t>
        </is>
      </c>
      <c r="C26" s="21" t="inlineStr">
        <is>
          <t>③ 單線試行（與人工並行比對）</t>
        </is>
      </c>
      <c r="D26" s="67" t="inlineStr">
        <is>
          <t>階段</t>
        </is>
      </c>
      <c r="E26" s="67" t="inlineStr">
        <is>
          <t>專案專員</t>
        </is>
      </c>
      <c r="F26" s="67">
        <f>MIN(F27:F33)</f>
        <v/>
      </c>
      <c r="G26" s="67">
        <f>H26-F26+1</f>
        <v/>
      </c>
      <c r="H26" s="67">
        <f>MAX(H27:H33)</f>
        <v/>
      </c>
      <c r="I26" s="68">
        <f>$C$2+(F26-1)*7</f>
        <v/>
      </c>
      <c r="J26" s="68">
        <f>$C$2+(H26-1)*7+4</f>
        <v/>
      </c>
      <c r="K26" s="69" t="inlineStr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69" t="inlineStr"/>
      <c r="AT26" s="67" t="inlineStr">
        <is>
          <t>規劃・未執行</t>
        </is>
      </c>
    </row>
    <row r="27" ht="36" customHeight="1">
      <c r="A27" s="26" t="inlineStr">
        <is>
          <t>3.1</t>
        </is>
      </c>
      <c r="B27" s="26" t="inlineStr">
        <is>
          <t>③</t>
        </is>
      </c>
      <c r="C27" s="15" t="inlineStr">
        <is>
          <t>試行線光源治具／取像站安裝與 µm/px 校正</t>
        </is>
      </c>
      <c r="D27" s="26" t="inlineStr">
        <is>
          <t>任務</t>
        </is>
      </c>
      <c r="E27" s="26" t="inlineStr">
        <is>
          <t>設備工程</t>
        </is>
      </c>
      <c r="F27" s="58" t="n">
        <v>9</v>
      </c>
      <c r="G27" s="58" t="n">
        <v>3</v>
      </c>
      <c r="H27" s="26">
        <f>F27+G27-1</f>
        <v/>
      </c>
      <c r="I27" s="59">
        <f>$C$2+(F27-1)*7</f>
        <v/>
      </c>
      <c r="J27" s="59">
        <f>$C$2+(H27-1)*7+4</f>
        <v/>
      </c>
      <c r="K27" s="26" t="inlineStr">
        <is>
          <t>1.6</t>
        </is>
      </c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15" t="inlineStr">
        <is>
          <t>取像站驗收紀錄（治具交期約 6 週，W3 請購；實際延遲見週會追蹤表）</t>
        </is>
      </c>
      <c r="AT27" s="26" t="inlineStr">
        <is>
          <t>規劃・未執行</t>
        </is>
      </c>
    </row>
    <row r="28" ht="30" customHeight="1">
      <c r="A28" s="26" t="inlineStr">
        <is>
          <t>3.2</t>
        </is>
      </c>
      <c r="B28" s="26" t="inlineStr">
        <is>
          <t>③</t>
        </is>
      </c>
      <c r="C28" s="15" t="inlineStr">
        <is>
          <t>作業員教育訓練與試行 SOP（含人工複判流程）</t>
        </is>
      </c>
      <c r="D28" s="26" t="inlineStr">
        <is>
          <t>任務</t>
        </is>
      </c>
      <c r="E28" s="26" t="inlineStr">
        <is>
          <t>生產/製造</t>
        </is>
      </c>
      <c r="F28" s="58" t="n">
        <v>19</v>
      </c>
      <c r="G28" s="58" t="n">
        <v>1</v>
      </c>
      <c r="H28" s="26">
        <f>F28+G28-1</f>
        <v/>
      </c>
      <c r="I28" s="59">
        <f>$C$2+(F28-1)*7</f>
        <v/>
      </c>
      <c r="J28" s="59">
        <f>$C$2+(H28-1)*7+4</f>
        <v/>
      </c>
      <c r="K28" s="26" t="inlineStr">
        <is>
          <t>2.12</t>
        </is>
      </c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15" t="inlineStr">
        <is>
          <t>試行 SOP、訓練簽到紀錄</t>
        </is>
      </c>
      <c r="AT28" s="26" t="inlineStr">
        <is>
          <t>規劃・未執行</t>
        </is>
      </c>
    </row>
    <row r="29" ht="30" customHeight="1">
      <c r="A29" s="26" t="inlineStr">
        <is>
          <t>3.3</t>
        </is>
      </c>
      <c r="B29" s="26" t="inlineStr">
        <is>
          <t>③</t>
        </is>
      </c>
      <c r="C29" s="15" t="inlineStr">
        <is>
          <t>單線並行比對：AI 判定 vs 人工目檢（不影響放行）</t>
        </is>
      </c>
      <c r="D29" s="26" t="inlineStr">
        <is>
          <t>任務</t>
        </is>
      </c>
      <c r="E29" s="26" t="inlineStr">
        <is>
          <t>生產/製造</t>
        </is>
      </c>
      <c r="F29" s="58" t="n">
        <v>20</v>
      </c>
      <c r="G29" s="58" t="n">
        <v>6</v>
      </c>
      <c r="H29" s="26">
        <f>F29+G29-1</f>
        <v/>
      </c>
      <c r="I29" s="59">
        <f>$C$2+(F29-1)*7</f>
        <v/>
      </c>
      <c r="J29" s="59">
        <f>$C$2+(H29-1)*7+4</f>
        <v/>
      </c>
      <c r="K29" s="26" t="inlineStr">
        <is>
          <t>3.1, 3.2</t>
        </is>
      </c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15" t="inlineStr">
        <is>
          <t>並行比對紀錄</t>
        </is>
      </c>
      <c r="AT29" s="26" t="inlineStr">
        <is>
          <t>規劃・未執行</t>
        </is>
      </c>
    </row>
    <row r="30" ht="30" customHeight="1">
      <c r="A30" s="26" t="inlineStr">
        <is>
          <t>3.4</t>
        </is>
      </c>
      <c r="B30" s="26" t="inlineStr">
        <is>
          <t>③</t>
        </is>
      </c>
      <c r="C30" s="15" t="inlineStr">
        <is>
          <t>週別 KPI 追蹤：漏判率、一致率、人工複判率</t>
        </is>
      </c>
      <c r="D30" s="26" t="inlineStr">
        <is>
          <t>任務</t>
        </is>
      </c>
      <c r="E30" s="26" t="inlineStr">
        <is>
          <t>專案專員</t>
        </is>
      </c>
      <c r="F30" s="58" t="n">
        <v>20</v>
      </c>
      <c r="G30" s="58" t="n">
        <v>6</v>
      </c>
      <c r="H30" s="26">
        <f>F30+G30-1</f>
        <v/>
      </c>
      <c r="I30" s="59">
        <f>$C$2+(F30-1)*7</f>
        <v/>
      </c>
      <c r="J30" s="59">
        <f>$C$2+(H30-1)*7+4</f>
        <v/>
      </c>
      <c r="K30" s="26" t="inlineStr">
        <is>
          <t>3.3 SS</t>
        </is>
      </c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15" t="inlineStr">
        <is>
          <t>週報＋週會追蹤表</t>
        </is>
      </c>
      <c r="AT30" s="26" t="inlineStr">
        <is>
          <t>規劃・未執行</t>
        </is>
      </c>
    </row>
    <row r="31" ht="30" customHeight="1">
      <c r="A31" s="26" t="inlineStr">
        <is>
          <t>3.5</t>
        </is>
      </c>
      <c r="B31" s="26" t="inlineStr">
        <is>
          <t>③</t>
        </is>
      </c>
      <c r="C31" s="15" t="inlineStr">
        <is>
          <t>預警與異常處置單實際運作（處置時效統計）</t>
        </is>
      </c>
      <c r="D31" s="26" t="inlineStr">
        <is>
          <t>任務</t>
        </is>
      </c>
      <c r="E31" s="26" t="inlineStr">
        <is>
          <t>製程工程</t>
        </is>
      </c>
      <c r="F31" s="58" t="n">
        <v>21</v>
      </c>
      <c r="G31" s="58" t="n">
        <v>5</v>
      </c>
      <c r="H31" s="26">
        <f>F31+G31-1</f>
        <v/>
      </c>
      <c r="I31" s="59">
        <f>$C$2+(F31-1)*7</f>
        <v/>
      </c>
      <c r="J31" s="59">
        <f>$C$2+(H31-1)*7+4</f>
        <v/>
      </c>
      <c r="K31" s="26" t="inlineStr">
        <is>
          <t>3.3 SS+1</t>
        </is>
      </c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15" t="inlineStr">
        <is>
          <t>處置單紀錄、確認時效統計</t>
        </is>
      </c>
      <c r="AT31" s="26" t="inlineStr">
        <is>
          <t>規劃・未執行</t>
        </is>
      </c>
    </row>
    <row r="32" ht="30" customHeight="1">
      <c r="A32" s="26" t="inlineStr">
        <is>
          <t>3.6</t>
        </is>
      </c>
      <c r="B32" s="26" t="inlineStr">
        <is>
          <t>③</t>
        </is>
      </c>
      <c r="C32" s="15" t="inlineStr">
        <is>
          <t>產能／人力影響評估（判定節拍、複判工時）</t>
        </is>
      </c>
      <c r="D32" s="26" t="inlineStr">
        <is>
          <t>任務</t>
        </is>
      </c>
      <c r="E32" s="26" t="inlineStr">
        <is>
          <t>生管</t>
        </is>
      </c>
      <c r="F32" s="58" t="n">
        <v>23</v>
      </c>
      <c r="G32" s="58" t="n">
        <v>3</v>
      </c>
      <c r="H32" s="26">
        <f>F32+G32-1</f>
        <v/>
      </c>
      <c r="I32" s="59">
        <f>$C$2+(F32-1)*7</f>
        <v/>
      </c>
      <c r="J32" s="59">
        <f>$C$2+(H32-1)*7+4</f>
        <v/>
      </c>
      <c r="K32" s="26" t="inlineStr">
        <is>
          <t>3.3 SS+3</t>
        </is>
      </c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15" t="inlineStr">
        <is>
          <t>產能影響評估報告</t>
        </is>
      </c>
      <c r="AT32" s="26" t="inlineStr">
        <is>
          <t>規劃・未執行</t>
        </is>
      </c>
    </row>
    <row r="33" ht="50" customHeight="1">
      <c r="A33" s="26" t="inlineStr">
        <is>
          <t>3.7</t>
        </is>
      </c>
      <c r="B33" s="26" t="inlineStr">
        <is>
          <t>③</t>
        </is>
      </c>
      <c r="C33" s="60" t="inlineStr">
        <is>
          <t>Gate ③→④：試行結案審查</t>
        </is>
      </c>
      <c r="D33" s="61" t="inlineStr">
        <is>
          <t>Gate</t>
        </is>
      </c>
      <c r="E33" s="26" t="inlineStr">
        <is>
          <t>專案專員</t>
        </is>
      </c>
      <c r="F33" s="58" t="n">
        <v>26</v>
      </c>
      <c r="G33" s="58" t="n">
        <v>1</v>
      </c>
      <c r="H33" s="26">
        <f>F33+G33-1</f>
        <v/>
      </c>
      <c r="I33" s="59">
        <f>$C$2+(F33-1)*7</f>
        <v/>
      </c>
      <c r="J33" s="59">
        <f>$C$2+(H33-1)*7+4</f>
        <v/>
      </c>
      <c r="K33" s="26" t="inlineStr">
        <is>
          <t>3.3, 3.4, 3.5, 3.6</t>
        </is>
      </c>
      <c r="L33" s="56">
        <f>IF(L$4=$H33,"◆","")</f>
        <v/>
      </c>
      <c r="M33" s="56">
        <f>IF(M$4=$H33,"◆","")</f>
        <v/>
      </c>
      <c r="N33" s="56">
        <f>IF(N$4=$H33,"◆","")</f>
        <v/>
      </c>
      <c r="O33" s="56">
        <f>IF(O$4=$H33,"◆","")</f>
        <v/>
      </c>
      <c r="P33" s="56">
        <f>IF(P$4=$H33,"◆","")</f>
        <v/>
      </c>
      <c r="Q33" s="56">
        <f>IF(Q$4=$H33,"◆","")</f>
        <v/>
      </c>
      <c r="R33" s="56">
        <f>IF(R$4=$H33,"◆","")</f>
        <v/>
      </c>
      <c r="S33" s="56">
        <f>IF(S$4=$H33,"◆","")</f>
        <v/>
      </c>
      <c r="T33" s="56">
        <f>IF(T$4=$H33,"◆","")</f>
        <v/>
      </c>
      <c r="U33" s="56">
        <f>IF(U$4=$H33,"◆","")</f>
        <v/>
      </c>
      <c r="V33" s="56">
        <f>IF(V$4=$H33,"◆","")</f>
        <v/>
      </c>
      <c r="W33" s="56">
        <f>IF(W$4=$H33,"◆","")</f>
        <v/>
      </c>
      <c r="X33" s="56">
        <f>IF(X$4=$H33,"◆","")</f>
        <v/>
      </c>
      <c r="Y33" s="56">
        <f>IF(Y$4=$H33,"◆","")</f>
        <v/>
      </c>
      <c r="Z33" s="56">
        <f>IF(Z$4=$H33,"◆","")</f>
        <v/>
      </c>
      <c r="AA33" s="56">
        <f>IF(AA$4=$H33,"◆","")</f>
        <v/>
      </c>
      <c r="AB33" s="56">
        <f>IF(AB$4=$H33,"◆","")</f>
        <v/>
      </c>
      <c r="AC33" s="56">
        <f>IF(AC$4=$H33,"◆","")</f>
        <v/>
      </c>
      <c r="AD33" s="56">
        <f>IF(AD$4=$H33,"◆","")</f>
        <v/>
      </c>
      <c r="AE33" s="56">
        <f>IF(AE$4=$H33,"◆","")</f>
        <v/>
      </c>
      <c r="AF33" s="56">
        <f>IF(AF$4=$H33,"◆","")</f>
        <v/>
      </c>
      <c r="AG33" s="56">
        <f>IF(AG$4=$H33,"◆","")</f>
        <v/>
      </c>
      <c r="AH33" s="56">
        <f>IF(AH$4=$H33,"◆","")</f>
        <v/>
      </c>
      <c r="AI33" s="56">
        <f>IF(AI$4=$H33,"◆","")</f>
        <v/>
      </c>
      <c r="AJ33" s="56">
        <f>IF(AJ$4=$H33,"◆","")</f>
        <v/>
      </c>
      <c r="AK33" s="56">
        <f>IF(AK$4=$H33,"◆","")</f>
        <v/>
      </c>
      <c r="AL33" s="56">
        <f>IF(AL$4=$H33,"◆","")</f>
        <v/>
      </c>
      <c r="AM33" s="56">
        <f>IF(AM$4=$H33,"◆","")</f>
        <v/>
      </c>
      <c r="AN33" s="56">
        <f>IF(AN$4=$H33,"◆","")</f>
        <v/>
      </c>
      <c r="AO33" s="56">
        <f>IF(AO$4=$H33,"◆","")</f>
        <v/>
      </c>
      <c r="AP33" s="56">
        <f>IF(AP$4=$H33,"◆","")</f>
        <v/>
      </c>
      <c r="AQ33" s="56">
        <f>IF(AQ$4=$H33,"◆","")</f>
        <v/>
      </c>
      <c r="AR33" s="56">
        <f>IF(AR$4=$H33,"◆","")</f>
        <v/>
      </c>
      <c r="AS33" s="34" t="inlineStr">
        <is>
          <t>Gate 標準：連續 4 週漏判率 ≤ 5%；評估者間一致率 ≥ 90%；人工複判率 ≤ 30%；無 AI 漏判造成之客退</t>
        </is>
      </c>
      <c r="AT33" s="26" t="inlineStr">
        <is>
          <t>規劃・未執行</t>
        </is>
      </c>
    </row>
    <row r="34">
      <c r="A34" s="70" t="inlineStr">
        <is>
          <t>④</t>
        </is>
      </c>
      <c r="B34" s="70" t="inlineStr">
        <is>
          <t>④</t>
        </is>
      </c>
      <c r="C34" s="23" t="inlineStr">
        <is>
          <t>④ 擴線與 MES 介接</t>
        </is>
      </c>
      <c r="D34" s="70" t="inlineStr">
        <is>
          <t>階段</t>
        </is>
      </c>
      <c r="E34" s="70" t="inlineStr">
        <is>
          <t>專案專員</t>
        </is>
      </c>
      <c r="F34" s="70">
        <f>MIN(F35:F41)</f>
        <v/>
      </c>
      <c r="G34" s="70">
        <f>H34-F34+1</f>
        <v/>
      </c>
      <c r="H34" s="70">
        <f>MAX(H35:H41)</f>
        <v/>
      </c>
      <c r="I34" s="71">
        <f>$C$2+(F34-1)*7</f>
        <v/>
      </c>
      <c r="J34" s="71">
        <f>$C$2+(H34-1)*7+4</f>
        <v/>
      </c>
      <c r="K34" s="72" t="inlineStr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72" t="inlineStr"/>
      <c r="AT34" s="70" t="inlineStr">
        <is>
          <t>規劃・未執行</t>
        </is>
      </c>
    </row>
    <row r="35" ht="30" customHeight="1">
      <c r="A35" s="26" t="inlineStr">
        <is>
          <t>4.1</t>
        </is>
      </c>
      <c r="B35" s="26" t="inlineStr">
        <is>
          <t>④</t>
        </is>
      </c>
      <c r="C35" s="15" t="inlineStr">
        <is>
          <t>MES 介接規格（判定、缺陷代碼、規範版本、批號上拋；預警通知）</t>
        </is>
      </c>
      <c r="D35" s="26" t="inlineStr">
        <is>
          <t>任務</t>
        </is>
      </c>
      <c r="E35" s="26" t="inlineStr">
        <is>
          <t>IT/MES</t>
        </is>
      </c>
      <c r="F35" s="58" t="n">
        <v>19</v>
      </c>
      <c r="G35" s="58" t="n">
        <v>3</v>
      </c>
      <c r="H35" s="26">
        <f>F35+G35-1</f>
        <v/>
      </c>
      <c r="I35" s="59">
        <f>$C$2+(F35-1)*7</f>
        <v/>
      </c>
      <c r="J35" s="59">
        <f>$C$2+(H35-1)*7+4</f>
        <v/>
      </c>
      <c r="K35" s="26" t="inlineStr">
        <is>
          <t>2.12</t>
        </is>
      </c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15" t="inlineStr">
        <is>
          <t>介接規格書（W21 凍結）</t>
        </is>
      </c>
      <c r="AT35" s="26" t="inlineStr">
        <is>
          <t>規劃・未執行</t>
        </is>
      </c>
    </row>
    <row r="36" ht="30" customHeight="1">
      <c r="A36" s="26" t="inlineStr">
        <is>
          <t>4.2</t>
        </is>
      </c>
      <c r="B36" s="26" t="inlineStr">
        <is>
          <t>④</t>
        </is>
      </c>
      <c r="C36" s="15" t="inlineStr">
        <is>
          <t>MES 介接開發與測試環境驗證</t>
        </is>
      </c>
      <c r="D36" s="26" t="inlineStr">
        <is>
          <t>任務</t>
        </is>
      </c>
      <c r="E36" s="26" t="inlineStr">
        <is>
          <t>IT/MES</t>
        </is>
      </c>
      <c r="F36" s="58" t="n">
        <v>22</v>
      </c>
      <c r="G36" s="58" t="n">
        <v>4</v>
      </c>
      <c r="H36" s="26">
        <f>F36+G36-1</f>
        <v/>
      </c>
      <c r="I36" s="59">
        <f>$C$2+(F36-1)*7</f>
        <v/>
      </c>
      <c r="J36" s="59">
        <f>$C$2+(H36-1)*7+4</f>
        <v/>
      </c>
      <c r="K36" s="26" t="inlineStr">
        <is>
          <t>4.1</t>
        </is>
      </c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15" t="inlineStr">
        <is>
          <t>測試報告</t>
        </is>
      </c>
      <c r="AT36" s="26" t="inlineStr">
        <is>
          <t>規劃・未執行</t>
        </is>
      </c>
    </row>
    <row r="37" ht="30" customHeight="1">
      <c r="A37" s="26" t="inlineStr">
        <is>
          <t>4.3</t>
        </is>
      </c>
      <c r="B37" s="26" t="inlineStr">
        <is>
          <t>④</t>
        </is>
      </c>
      <c r="C37" s="15" t="inlineStr">
        <is>
          <t>擴線機台差異驗證（每台對標準樣本集做一致性分析）</t>
        </is>
      </c>
      <c r="D37" s="26" t="inlineStr">
        <is>
          <t>任務</t>
        </is>
      </c>
      <c r="E37" s="26" t="inlineStr">
        <is>
          <t>設備工程</t>
        </is>
      </c>
      <c r="F37" s="58" t="n">
        <v>27</v>
      </c>
      <c r="G37" s="58" t="n">
        <v>3</v>
      </c>
      <c r="H37" s="26">
        <f>F37+G37-1</f>
        <v/>
      </c>
      <c r="I37" s="59">
        <f>$C$2+(F37-1)*7</f>
        <v/>
      </c>
      <c r="J37" s="59">
        <f>$C$2+(H37-1)*7+4</f>
        <v/>
      </c>
      <c r="K37" s="26" t="inlineStr">
        <is>
          <t>3.7</t>
        </is>
      </c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15" t="inlineStr">
        <is>
          <t>機台間一致率差 ≤ 5%（假設值）</t>
        </is>
      </c>
      <c r="AT37" s="26" t="inlineStr">
        <is>
          <t>規劃・未執行</t>
        </is>
      </c>
    </row>
    <row r="38" ht="30" customHeight="1">
      <c r="A38" s="26" t="inlineStr">
        <is>
          <t>4.4</t>
        </is>
      </c>
      <c r="B38" s="26" t="inlineStr">
        <is>
          <t>④</t>
        </is>
      </c>
      <c r="C38" s="15" t="inlineStr">
        <is>
          <t>檢驗規範納入文管（DCC）、OI/SOP 正式發行</t>
        </is>
      </c>
      <c r="D38" s="26" t="inlineStr">
        <is>
          <t>任務</t>
        </is>
      </c>
      <c r="E38" s="26" t="inlineStr">
        <is>
          <t>QA/品保</t>
        </is>
      </c>
      <c r="F38" s="58" t="n">
        <v>27</v>
      </c>
      <c r="G38" s="58" t="n">
        <v>2</v>
      </c>
      <c r="H38" s="26">
        <f>F38+G38-1</f>
        <v/>
      </c>
      <c r="I38" s="59">
        <f>$C$2+(F38-1)*7</f>
        <v/>
      </c>
      <c r="J38" s="59">
        <f>$C$2+(H38-1)*7+4</f>
        <v/>
      </c>
      <c r="K38" s="26" t="inlineStr">
        <is>
          <t>3.7</t>
        </is>
      </c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15" t="inlineStr">
        <is>
          <t>受控文件發行</t>
        </is>
      </c>
      <c r="AT38" s="26" t="inlineStr">
        <is>
          <t>規劃・未執行</t>
        </is>
      </c>
    </row>
    <row r="39" ht="30" customHeight="1">
      <c r="A39" s="26" t="inlineStr">
        <is>
          <t>4.5</t>
        </is>
      </c>
      <c r="B39" s="26" t="inlineStr">
        <is>
          <t>④</t>
        </is>
      </c>
      <c r="C39" s="15" t="inlineStr">
        <is>
          <t>MES 上線切換（UAT、並行一週、回退方案）</t>
        </is>
      </c>
      <c r="D39" s="26" t="inlineStr">
        <is>
          <t>任務</t>
        </is>
      </c>
      <c r="E39" s="26" t="inlineStr">
        <is>
          <t>IT/MES</t>
        </is>
      </c>
      <c r="F39" s="58" t="n">
        <v>30</v>
      </c>
      <c r="G39" s="58" t="n">
        <v>2</v>
      </c>
      <c r="H39" s="26">
        <f>F39+G39-1</f>
        <v/>
      </c>
      <c r="I39" s="59">
        <f>$C$2+(F39-1)*7</f>
        <v/>
      </c>
      <c r="J39" s="59">
        <f>$C$2+(H39-1)*7+4</f>
        <v/>
      </c>
      <c r="K39" s="26" t="inlineStr">
        <is>
          <t>4.2, 4.3</t>
        </is>
      </c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15" t="inlineStr">
        <is>
          <t>上線核准單、回退演練紀錄</t>
        </is>
      </c>
      <c r="AT39" s="26" t="inlineStr">
        <is>
          <t>規劃・未執行</t>
        </is>
      </c>
    </row>
    <row r="40" ht="30" customHeight="1">
      <c r="A40" s="26" t="inlineStr">
        <is>
          <t>4.6</t>
        </is>
      </c>
      <c r="B40" s="26" t="inlineStr">
        <is>
          <t>④</t>
        </is>
      </c>
      <c r="C40" s="15" t="inlineStr">
        <is>
          <t>擴線成效追蹤與 Owner 移交（製造／QA）</t>
        </is>
      </c>
      <c r="D40" s="26" t="inlineStr">
        <is>
          <t>任務</t>
        </is>
      </c>
      <c r="E40" s="26" t="inlineStr">
        <is>
          <t>專案專員</t>
        </is>
      </c>
      <c r="F40" s="58" t="n">
        <v>32</v>
      </c>
      <c r="G40" s="58" t="n">
        <v>1</v>
      </c>
      <c r="H40" s="26">
        <f>F40+G40-1</f>
        <v/>
      </c>
      <c r="I40" s="59">
        <f>$C$2+(F40-1)*7</f>
        <v/>
      </c>
      <c r="J40" s="59">
        <f>$C$2+(H40-1)*7+4</f>
        <v/>
      </c>
      <c r="K40" s="26" t="inlineStr">
        <is>
          <t>4.5</t>
        </is>
      </c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15" t="inlineStr">
        <is>
          <t>移交清單</t>
        </is>
      </c>
      <c r="AT40" s="26" t="inlineStr">
        <is>
          <t>規劃・未執行</t>
        </is>
      </c>
    </row>
    <row r="41" ht="42" customHeight="1">
      <c r="A41" s="26" t="inlineStr">
        <is>
          <t>4.7</t>
        </is>
      </c>
      <c r="B41" s="26" t="inlineStr">
        <is>
          <t>④</t>
        </is>
      </c>
      <c r="C41" s="60" t="inlineStr">
        <is>
          <t>專案結案報告與效益確認</t>
        </is>
      </c>
      <c r="D41" s="61" t="inlineStr">
        <is>
          <t>Gate</t>
        </is>
      </c>
      <c r="E41" s="26" t="inlineStr">
        <is>
          <t>專案專員</t>
        </is>
      </c>
      <c r="F41" s="58" t="n">
        <v>33</v>
      </c>
      <c r="G41" s="58" t="n">
        <v>1</v>
      </c>
      <c r="H41" s="26">
        <f>F41+G41-1</f>
        <v/>
      </c>
      <c r="I41" s="59">
        <f>$C$2+(F41-1)*7</f>
        <v/>
      </c>
      <c r="J41" s="59">
        <f>$C$2+(H41-1)*7+4</f>
        <v/>
      </c>
      <c r="K41" s="26" t="inlineStr">
        <is>
          <t>4.6</t>
        </is>
      </c>
      <c r="L41" s="56">
        <f>IF(L$4=$H41,"◆","")</f>
        <v/>
      </c>
      <c r="M41" s="56">
        <f>IF(M$4=$H41,"◆","")</f>
        <v/>
      </c>
      <c r="N41" s="56">
        <f>IF(N$4=$H41,"◆","")</f>
        <v/>
      </c>
      <c r="O41" s="56">
        <f>IF(O$4=$H41,"◆","")</f>
        <v/>
      </c>
      <c r="P41" s="56">
        <f>IF(P$4=$H41,"◆","")</f>
        <v/>
      </c>
      <c r="Q41" s="56">
        <f>IF(Q$4=$H41,"◆","")</f>
        <v/>
      </c>
      <c r="R41" s="56">
        <f>IF(R$4=$H41,"◆","")</f>
        <v/>
      </c>
      <c r="S41" s="56">
        <f>IF(S$4=$H41,"◆","")</f>
        <v/>
      </c>
      <c r="T41" s="56">
        <f>IF(T$4=$H41,"◆","")</f>
        <v/>
      </c>
      <c r="U41" s="56">
        <f>IF(U$4=$H41,"◆","")</f>
        <v/>
      </c>
      <c r="V41" s="56">
        <f>IF(V$4=$H41,"◆","")</f>
        <v/>
      </c>
      <c r="W41" s="56">
        <f>IF(W$4=$H41,"◆","")</f>
        <v/>
      </c>
      <c r="X41" s="56">
        <f>IF(X$4=$H41,"◆","")</f>
        <v/>
      </c>
      <c r="Y41" s="56">
        <f>IF(Y$4=$H41,"◆","")</f>
        <v/>
      </c>
      <c r="Z41" s="56">
        <f>IF(Z$4=$H41,"◆","")</f>
        <v/>
      </c>
      <c r="AA41" s="56">
        <f>IF(AA$4=$H41,"◆","")</f>
        <v/>
      </c>
      <c r="AB41" s="56">
        <f>IF(AB$4=$H41,"◆","")</f>
        <v/>
      </c>
      <c r="AC41" s="56">
        <f>IF(AC$4=$H41,"◆","")</f>
        <v/>
      </c>
      <c r="AD41" s="56">
        <f>IF(AD$4=$H41,"◆","")</f>
        <v/>
      </c>
      <c r="AE41" s="56">
        <f>IF(AE$4=$H41,"◆","")</f>
        <v/>
      </c>
      <c r="AF41" s="56">
        <f>IF(AF$4=$H41,"◆","")</f>
        <v/>
      </c>
      <c r="AG41" s="56">
        <f>IF(AG$4=$H41,"◆","")</f>
        <v/>
      </c>
      <c r="AH41" s="56">
        <f>IF(AH$4=$H41,"◆","")</f>
        <v/>
      </c>
      <c r="AI41" s="56">
        <f>IF(AI$4=$H41,"◆","")</f>
        <v/>
      </c>
      <c r="AJ41" s="56">
        <f>IF(AJ$4=$H41,"◆","")</f>
        <v/>
      </c>
      <c r="AK41" s="56">
        <f>IF(AK$4=$H41,"◆","")</f>
        <v/>
      </c>
      <c r="AL41" s="56">
        <f>IF(AL$4=$H41,"◆","")</f>
        <v/>
      </c>
      <c r="AM41" s="56">
        <f>IF(AM$4=$H41,"◆","")</f>
        <v/>
      </c>
      <c r="AN41" s="56">
        <f>IF(AN$4=$H41,"◆","")</f>
        <v/>
      </c>
      <c r="AO41" s="56">
        <f>IF(AO$4=$H41,"◆","")</f>
        <v/>
      </c>
      <c r="AP41" s="56">
        <f>IF(AP$4=$H41,"◆","")</f>
        <v/>
      </c>
      <c r="AQ41" s="56">
        <f>IF(AQ$4=$H41,"◆","")</f>
        <v/>
      </c>
      <c r="AR41" s="56">
        <f>IF(AR$4=$H41,"◆","")</f>
        <v/>
      </c>
      <c r="AS41" s="34" t="inlineStr">
        <is>
          <t>結案報告：KPI 達成狀況、後續擴站建議</t>
        </is>
      </c>
      <c r="AT41" s="26" t="inlineStr">
        <is>
          <t>規劃・未執行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</row>
    <row r="43">
      <c r="A43" s="73" t="inlineStr">
        <is>
          <t>附註：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</row>
    <row r="44">
      <c r="A44" s="74" t="inlineStr">
        <is>
          <t>1. 前置任務預設為「完成→開始」(FS)；「SS」表示與前置任務同步開始，「SS+n」表示前置任務開始 n 週後開始。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</row>
    <row r="45">
      <c r="A45" s="74" t="inlineStr">
        <is>
          <t>2. 修改 C2 專案起始日即全表日期連動；開始週、週數（藍字）為輸入值；結束週、開始日、結束日、階段列彙總與甘特著色皆為公式／條件式格式。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</row>
    <row r="46">
      <c r="A46" s="74" t="inlineStr">
        <is>
          <t>3. 階段 ① 與 ③④ 部分任務刻意平行（資安評估、治具請購、MES 規格提前啟動），以壓縮長交期項目對要徑之影響。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</row>
    <row r="47">
      <c r="A47" s="74" t="inlineStr">
        <is>
          <t>4. 版本 v0.2：② 以規範 v1 執行之 PoC 未通過 Gate（2.7），新增 2.8–2.12（規範 v2 修訂與 ② 重跑），③④ 整體順延 7 週（原 W26 結案 → W33）。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</row>
    <row r="48">
      <c r="A48" s="74" t="inlineStr">
        <is>
          <t>5. 2027 春節（約 2/6 起）落在 W14 末～W15，與 ② 重跑（離線作業）重疊，不影響產線並行比對。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</row>
    <row r="49">
      <c r="A49" s="74" t="inlineStr">
        <is>
          <t>6. ①② 之數據皆為模擬（半合成樣本、模擬 AI 評估者），出處 experiment/results/msa-summary.md；③④ 與 ② 重跑為規劃，尚未執行。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</row>
  </sheetData>
  <autoFilter ref="A4:K41"/>
  <mergeCells count="14">
    <mergeCell ref="A2:B2"/>
    <mergeCell ref="K3:K4"/>
    <mergeCell ref="C3:C4"/>
    <mergeCell ref="B3:B4"/>
    <mergeCell ref="A3:A4"/>
    <mergeCell ref="E3:E4"/>
    <mergeCell ref="G3:G4"/>
    <mergeCell ref="H3:H4"/>
    <mergeCell ref="F3:F4"/>
    <mergeCell ref="D3:D4"/>
    <mergeCell ref="I3:I4"/>
    <mergeCell ref="J3:J4"/>
    <mergeCell ref="AS3:AS4"/>
    <mergeCell ref="AT3:AT4"/>
  </mergeCells>
  <conditionalFormatting sqref="L5:AR41">
    <cfRule type="expression" priority="1" dxfId="0" stopIfTrue="1">
      <formula>AND($D5="Gate",AND(L$4&gt;=$F5,L$4&lt;=$H5))</formula>
    </cfRule>
    <cfRule type="expression" priority="2" dxfId="1" stopIfTrue="1">
      <formula>AND($D5="階段",AND(L$4&gt;=$F5,L$4&lt;=$H5))</formula>
    </cfRule>
    <cfRule type="expression" priority="3" dxfId="2" stopIfTrue="1">
      <formula>AND($B5="①",AND(L$4&gt;=$F5,L$4&lt;=$H5))</formula>
    </cfRule>
    <cfRule type="expression" priority="4" dxfId="3" stopIfTrue="1">
      <formula>AND($B5="②",AND(L$4&gt;=$F5,L$4&lt;=$H5))</formula>
    </cfRule>
    <cfRule type="expression" priority="5" dxfId="4" stopIfTrue="1">
      <formula>AND($B5="③",AND(L$4&gt;=$F5,L$4&lt;=$H5))</formula>
    </cfRule>
    <cfRule type="expression" priority="6" dxfId="5" stopIfTrue="1">
      <formula>AND($B5="④",AND(L$4&gt;=$F5,L$4&lt;=$H5))</formula>
    </cfRule>
  </conditionalFormatting>
  <conditionalFormatting sqref="Z5:Z41">
    <cfRule type="expression" priority="7" dxfId="6">
      <formula>TRUE</formula>
    </cfRule>
  </conditionalFormatting>
  <printOptions horizontalCentered="1"/>
  <pageMargins left="0.4" right="0.4" top="0.5" bottom="0.5" header="0.5" footer="0.5"/>
  <pageSetup orientation="landscape" paperSize="8" fitToHeight="0" fitToWidth="1"/>
  <headerFooter>
    <oddHeader/>
    <oddFooter>&amp;C&amp;A　第 &amp;P / &amp;N 頁&amp;R模擬情境・非實際導入紀錄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27" t="inlineStr">
        <is>
          <t>RACI 責任分工矩陣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8" t="inlineStr">
        <is>
          <t>R＝執行（Responsible）　A＝當責（Accountable，每列唯一）　C＝諮詢（Consulted）　I＝告知（Informed）；A/R＝當責兼執行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2" customHeight="1">
      <c r="A4" s="13" t="inlineStr">
        <is>
          <t>No.</t>
        </is>
      </c>
      <c r="B4" s="13" t="inlineStr">
        <is>
          <t>階段</t>
        </is>
      </c>
      <c r="C4" s="13" t="inlineStr">
        <is>
          <t>關鍵活動</t>
        </is>
      </c>
      <c r="D4" s="13" t="inlineStr">
        <is>
          <t>生產/製造</t>
        </is>
      </c>
      <c r="E4" s="13" t="inlineStr">
        <is>
          <t>QA/品保</t>
        </is>
      </c>
      <c r="F4" s="13" t="inlineStr">
        <is>
          <t>製程工程</t>
        </is>
      </c>
      <c r="G4" s="13" t="inlineStr">
        <is>
          <t>設備工程</t>
        </is>
      </c>
      <c r="H4" s="13" t="inlineStr">
        <is>
          <t>IT/MES</t>
        </is>
      </c>
      <c r="I4" s="13" t="inlineStr">
        <is>
          <t>生管</t>
        </is>
      </c>
      <c r="J4" s="13" t="inlineStr">
        <is>
          <t>專案專員</t>
        </is>
      </c>
      <c r="K4" s="13" t="inlineStr">
        <is>
          <t>A 數檢核</t>
        </is>
      </c>
    </row>
    <row r="5" ht="24" customHeight="1">
      <c r="A5" s="26" t="n">
        <v>1</v>
      </c>
      <c r="B5" s="75" t="inlineStr">
        <is>
          <t>①</t>
        </is>
      </c>
      <c r="C5" s="15" t="inlineStr">
        <is>
          <t>專案章程與 KPI 訂定</t>
        </is>
      </c>
      <c r="D5" s="36" t="inlineStr">
        <is>
          <t>C</t>
        </is>
      </c>
      <c r="E5" s="36" t="inlineStr">
        <is>
          <t>C</t>
        </is>
      </c>
      <c r="F5" s="36" t="inlineStr">
        <is>
          <t>C</t>
        </is>
      </c>
      <c r="G5" s="36" t="inlineStr">
        <is>
          <t>I</t>
        </is>
      </c>
      <c r="H5" s="36" t="inlineStr">
        <is>
          <t>I</t>
        </is>
      </c>
      <c r="I5" s="36" t="inlineStr">
        <is>
          <t>C</t>
        </is>
      </c>
      <c r="J5" s="36" t="inlineStr">
        <is>
          <t>A/R</t>
        </is>
      </c>
      <c r="K5" s="26">
        <f>IF(COUNTIF(D5:J5,"A*")=1,"OK","需修正")</f>
        <v/>
      </c>
    </row>
    <row r="6" ht="24" customHeight="1">
      <c r="A6" s="26" t="n">
        <v>2</v>
      </c>
      <c r="B6" s="75" t="inlineStr">
        <is>
          <t>①</t>
        </is>
      </c>
      <c r="C6" s="15" t="inlineStr">
        <is>
          <t>現行人工目檢流程盤點</t>
        </is>
      </c>
      <c r="D6" s="36" t="inlineStr">
        <is>
          <t>R</t>
        </is>
      </c>
      <c r="E6" s="36" t="inlineStr">
        <is>
          <t>C</t>
        </is>
      </c>
      <c r="F6" s="36" t="inlineStr">
        <is>
          <t>I</t>
        </is>
      </c>
      <c r="G6" s="36" t="inlineStr">
        <is>
          <t>I</t>
        </is>
      </c>
      <c r="H6" s="36" t="inlineStr">
        <is>
          <t>I</t>
        </is>
      </c>
      <c r="I6" s="36" t="inlineStr">
        <is>
          <t>I</t>
        </is>
      </c>
      <c r="J6" s="36" t="inlineStr">
        <is>
          <t>A</t>
        </is>
      </c>
      <c r="K6" s="26">
        <f>IF(COUNTIF(D6:J6,"A*")=1,"OK","需修正")</f>
        <v/>
      </c>
    </row>
    <row r="7" ht="24" customHeight="1">
      <c r="A7" s="26" t="n">
        <v>3</v>
      </c>
      <c r="B7" s="75" t="inlineStr">
        <is>
          <t>①</t>
        </is>
      </c>
      <c r="C7" s="15" t="inlineStr">
        <is>
          <t>標準樣本挑選與標準答案確認</t>
        </is>
      </c>
      <c r="D7" s="36" t="inlineStr">
        <is>
          <t>C</t>
        </is>
      </c>
      <c r="E7" s="36" t="inlineStr">
        <is>
          <t>A/R</t>
        </is>
      </c>
      <c r="F7" s="36" t="inlineStr">
        <is>
          <t>C</t>
        </is>
      </c>
      <c r="G7" s="36" t="inlineStr">
        <is>
          <t>I</t>
        </is>
      </c>
      <c r="H7" s="36" t="n"/>
      <c r="I7" s="36" t="n"/>
      <c r="J7" s="36" t="inlineStr">
        <is>
          <t>I</t>
        </is>
      </c>
      <c r="K7" s="26">
        <f>IF(COUNTIF(D7:J7,"A*")=1,"OK","需修正")</f>
        <v/>
      </c>
    </row>
    <row r="8" ht="24" customHeight="1">
      <c r="A8" s="26" t="n">
        <v>4</v>
      </c>
      <c r="B8" s="75" t="inlineStr">
        <is>
          <t>①</t>
        </is>
      </c>
      <c r="C8" s="15" t="inlineStr">
        <is>
          <t>現況一致性分析（人工目檢 MSA）</t>
        </is>
      </c>
      <c r="D8" s="36" t="inlineStr">
        <is>
          <t>R</t>
        </is>
      </c>
      <c r="E8" s="36" t="inlineStr">
        <is>
          <t>A</t>
        </is>
      </c>
      <c r="F8" s="36" t="inlineStr">
        <is>
          <t>I</t>
        </is>
      </c>
      <c r="G8" s="36" t="n"/>
      <c r="H8" s="36" t="n"/>
      <c r="I8" s="36" t="n"/>
      <c r="J8" s="36" t="inlineStr">
        <is>
          <t>R</t>
        </is>
      </c>
      <c r="K8" s="26">
        <f>IF(COUNTIF(D8:J8,"A*")=1,"OK","需修正")</f>
        <v/>
      </c>
    </row>
    <row r="9" ht="24" customHeight="1">
      <c r="A9" s="26" t="n">
        <v>5</v>
      </c>
      <c r="B9" s="75" t="inlineStr">
        <is>
          <t>①</t>
        </is>
      </c>
      <c r="C9" s="15" t="inlineStr">
        <is>
          <t>檢驗規範制定、審查與版本發行</t>
        </is>
      </c>
      <c r="D9" s="36" t="inlineStr">
        <is>
          <t>C</t>
        </is>
      </c>
      <c r="E9" s="36" t="inlineStr">
        <is>
          <t>A</t>
        </is>
      </c>
      <c r="F9" s="36" t="inlineStr">
        <is>
          <t>R</t>
        </is>
      </c>
      <c r="G9" s="36" t="inlineStr">
        <is>
          <t>I</t>
        </is>
      </c>
      <c r="H9" s="36" t="n"/>
      <c r="I9" s="36" t="n"/>
      <c r="J9" s="36" t="inlineStr">
        <is>
          <t>C</t>
        </is>
      </c>
      <c r="K9" s="26">
        <f>IF(COUNTIF(D9:J9,"A*")=1,"OK","需修正")</f>
        <v/>
      </c>
    </row>
    <row r="10" ht="24" customHeight="1">
      <c r="A10" s="26" t="n">
        <v>6</v>
      </c>
      <c r="B10" s="75" t="inlineStr">
        <is>
          <t>①</t>
        </is>
      </c>
      <c r="C10" s="15" t="inlineStr">
        <is>
          <t>影像擷取條件與光源治具</t>
        </is>
      </c>
      <c r="D10" s="36" t="inlineStr">
        <is>
          <t>I</t>
        </is>
      </c>
      <c r="E10" s="36" t="inlineStr">
        <is>
          <t>C</t>
        </is>
      </c>
      <c r="F10" s="36" t="inlineStr">
        <is>
          <t>C</t>
        </is>
      </c>
      <c r="G10" s="36" t="inlineStr">
        <is>
          <t>A/R</t>
        </is>
      </c>
      <c r="H10" s="36" t="n"/>
      <c r="I10" s="36" t="n"/>
      <c r="J10" s="36" t="inlineStr">
        <is>
          <t>C</t>
        </is>
      </c>
      <c r="K10" s="26">
        <f>IF(COUNTIF(D10:J10,"A*")=1,"OK","需修正")</f>
        <v/>
      </c>
    </row>
    <row r="11" ht="24" customHeight="1">
      <c r="A11" s="26" t="n">
        <v>7</v>
      </c>
      <c r="B11" s="76" t="inlineStr">
        <is>
          <t>②</t>
        </is>
      </c>
      <c r="C11" s="15" t="inlineStr">
        <is>
          <t>資安評估與 AI 服務選型</t>
        </is>
      </c>
      <c r="D11" s="36" t="n"/>
      <c r="E11" s="36" t="inlineStr">
        <is>
          <t>I</t>
        </is>
      </c>
      <c r="F11" s="36" t="n"/>
      <c r="G11" s="36" t="n"/>
      <c r="H11" s="36" t="inlineStr">
        <is>
          <t>A/R</t>
        </is>
      </c>
      <c r="I11" s="36" t="n"/>
      <c r="J11" s="36" t="inlineStr">
        <is>
          <t>C</t>
        </is>
      </c>
      <c r="K11" s="26">
        <f>IF(COUNTIF(D11:J11,"A*")=1,"OK","需修正")</f>
        <v/>
      </c>
    </row>
    <row r="12" ht="24" customHeight="1">
      <c r="A12" s="26" t="n">
        <v>8</v>
      </c>
      <c r="B12" s="76" t="inlineStr">
        <is>
          <t>②</t>
        </is>
      </c>
      <c r="C12" s="15" t="inlineStr">
        <is>
          <t>PoC 建置與 AI 一致性分析</t>
        </is>
      </c>
      <c r="D12" s="36" t="inlineStr">
        <is>
          <t>I</t>
        </is>
      </c>
      <c r="E12" s="36" t="inlineStr">
        <is>
          <t>C</t>
        </is>
      </c>
      <c r="F12" s="36" t="inlineStr">
        <is>
          <t>C</t>
        </is>
      </c>
      <c r="G12" s="36" t="inlineStr">
        <is>
          <t>C</t>
        </is>
      </c>
      <c r="H12" s="36" t="inlineStr">
        <is>
          <t>C</t>
        </is>
      </c>
      <c r="I12" s="36" t="n"/>
      <c r="J12" s="36" t="inlineStr">
        <is>
          <t>A/R</t>
        </is>
      </c>
      <c r="K12" s="26">
        <f>IF(COUNTIF(D12:J12,"A*")=1,"OK","需修正")</f>
        <v/>
      </c>
    </row>
    <row r="13" ht="24" customHeight="1">
      <c r="A13" s="26" t="n">
        <v>9</v>
      </c>
      <c r="B13" s="76" t="inlineStr">
        <is>
          <t>②</t>
        </is>
      </c>
      <c r="C13" s="15" t="inlineStr">
        <is>
          <t>p 管制圖判異規則與預警門檻</t>
        </is>
      </c>
      <c r="D13" s="36" t="inlineStr">
        <is>
          <t>I</t>
        </is>
      </c>
      <c r="E13" s="36" t="inlineStr">
        <is>
          <t>C</t>
        </is>
      </c>
      <c r="F13" s="36" t="inlineStr">
        <is>
          <t>A/R</t>
        </is>
      </c>
      <c r="G13" s="36" t="n"/>
      <c r="H13" s="36" t="n"/>
      <c r="I13" s="36" t="inlineStr">
        <is>
          <t>I</t>
        </is>
      </c>
      <c r="J13" s="36" t="inlineStr">
        <is>
          <t>C</t>
        </is>
      </c>
      <c r="K13" s="26">
        <f>IF(COUNTIF(D13:J13,"A*")=1,"OK","需修正")</f>
        <v/>
      </c>
    </row>
    <row r="14" ht="24" customHeight="1">
      <c r="A14" s="26" t="n">
        <v>10</v>
      </c>
      <c r="B14" s="76" t="inlineStr">
        <is>
          <t>②</t>
        </is>
      </c>
      <c r="C14" s="15" t="inlineStr">
        <is>
          <t>異常處置單流程（AI 草擬、人確認）</t>
        </is>
      </c>
      <c r="D14" s="36" t="inlineStr">
        <is>
          <t>C</t>
        </is>
      </c>
      <c r="E14" s="36" t="inlineStr">
        <is>
          <t>C</t>
        </is>
      </c>
      <c r="F14" s="36" t="inlineStr">
        <is>
          <t>A</t>
        </is>
      </c>
      <c r="G14" s="36" t="inlineStr">
        <is>
          <t>C</t>
        </is>
      </c>
      <c r="H14" s="36" t="inlineStr">
        <is>
          <t>C</t>
        </is>
      </c>
      <c r="I14" s="36" t="inlineStr">
        <is>
          <t>I</t>
        </is>
      </c>
      <c r="J14" s="36" t="inlineStr">
        <is>
          <t>R</t>
        </is>
      </c>
      <c r="K14" s="26">
        <f>IF(COUNTIF(D14:J14,"A*")=1,"OK","需修正")</f>
        <v/>
      </c>
    </row>
    <row r="15" ht="24" customHeight="1">
      <c r="A15" s="26" t="n">
        <v>11</v>
      </c>
      <c r="B15" s="76" t="inlineStr">
        <is>
          <t>②</t>
        </is>
      </c>
      <c r="C15" s="15" t="inlineStr">
        <is>
          <t>規範 v2 修訂與 ② 重跑（v1 未通過 Gate 後）</t>
        </is>
      </c>
      <c r="D15" s="36" t="inlineStr">
        <is>
          <t>C</t>
        </is>
      </c>
      <c r="E15" s="36" t="inlineStr">
        <is>
          <t>A</t>
        </is>
      </c>
      <c r="F15" s="36" t="inlineStr">
        <is>
          <t>C</t>
        </is>
      </c>
      <c r="G15" s="36" t="inlineStr">
        <is>
          <t>C</t>
        </is>
      </c>
      <c r="H15" s="36" t="inlineStr">
        <is>
          <t>C</t>
        </is>
      </c>
      <c r="I15" s="36" t="n"/>
      <c r="J15" s="36" t="inlineStr">
        <is>
          <t>R</t>
        </is>
      </c>
      <c r="K15" s="26">
        <f>IF(COUNTIF(D15:J15,"A*")=1,"OK","需修正")</f>
        <v/>
      </c>
    </row>
    <row r="16" ht="24" customHeight="1">
      <c r="A16" s="26" t="n">
        <v>12</v>
      </c>
      <c r="B16" s="77" t="inlineStr">
        <is>
          <t>③</t>
        </is>
      </c>
      <c r="C16" s="15" t="inlineStr">
        <is>
          <t>單線並行比對執行</t>
        </is>
      </c>
      <c r="D16" s="36" t="inlineStr">
        <is>
          <t>R</t>
        </is>
      </c>
      <c r="E16" s="36" t="inlineStr">
        <is>
          <t>A</t>
        </is>
      </c>
      <c r="F16" s="36" t="inlineStr">
        <is>
          <t>C</t>
        </is>
      </c>
      <c r="G16" s="36" t="inlineStr">
        <is>
          <t>C</t>
        </is>
      </c>
      <c r="H16" s="36" t="n"/>
      <c r="I16" s="36" t="inlineStr">
        <is>
          <t>I</t>
        </is>
      </c>
      <c r="J16" s="36" t="inlineStr">
        <is>
          <t>R</t>
        </is>
      </c>
      <c r="K16" s="26">
        <f>IF(COUNTIF(D16:J16,"A*")=1,"OK","需修正")</f>
        <v/>
      </c>
    </row>
    <row r="17" ht="24" customHeight="1">
      <c r="A17" s="26" t="n">
        <v>13</v>
      </c>
      <c r="B17" s="77" t="inlineStr">
        <is>
          <t>③</t>
        </is>
      </c>
      <c r="C17" s="15" t="inlineStr">
        <is>
          <t>人工複判執行與紀錄</t>
        </is>
      </c>
      <c r="D17" s="36" t="inlineStr">
        <is>
          <t>R</t>
        </is>
      </c>
      <c r="E17" s="36" t="inlineStr">
        <is>
          <t>A</t>
        </is>
      </c>
      <c r="F17" s="36" t="inlineStr">
        <is>
          <t>I</t>
        </is>
      </c>
      <c r="G17" s="36" t="n"/>
      <c r="H17" s="36" t="n"/>
      <c r="I17" s="36" t="n"/>
      <c r="J17" s="36" t="inlineStr">
        <is>
          <t>I</t>
        </is>
      </c>
      <c r="K17" s="26">
        <f>IF(COUNTIF(D17:J17,"A*")=1,"OK","需修正")</f>
        <v/>
      </c>
    </row>
    <row r="18" ht="24" customHeight="1">
      <c r="A18" s="26" t="n">
        <v>14</v>
      </c>
      <c r="B18" s="77" t="inlineStr">
        <is>
          <t>③</t>
        </is>
      </c>
      <c r="C18" s="15" t="inlineStr">
        <is>
          <t>產能與人力影響評估</t>
        </is>
      </c>
      <c r="D18" s="36" t="inlineStr">
        <is>
          <t>C</t>
        </is>
      </c>
      <c r="E18" s="36" t="n"/>
      <c r="F18" s="36" t="inlineStr">
        <is>
          <t>I</t>
        </is>
      </c>
      <c r="G18" s="36" t="n"/>
      <c r="H18" s="36" t="n"/>
      <c r="I18" s="36" t="inlineStr">
        <is>
          <t>A/R</t>
        </is>
      </c>
      <c r="J18" s="36" t="inlineStr">
        <is>
          <t>C</t>
        </is>
      </c>
      <c r="K18" s="26">
        <f>IF(COUNTIF(D18:J18,"A*")=1,"OK","需修正")</f>
        <v/>
      </c>
    </row>
    <row r="19" ht="24" customHeight="1">
      <c r="A19" s="26" t="n">
        <v>15</v>
      </c>
      <c r="B19" s="78" t="inlineStr">
        <is>
          <t>④</t>
        </is>
      </c>
      <c r="C19" s="15" t="inlineStr">
        <is>
          <t>MES 介接規格、開發與上線</t>
        </is>
      </c>
      <c r="D19" s="36" t="inlineStr">
        <is>
          <t>I</t>
        </is>
      </c>
      <c r="E19" s="36" t="inlineStr">
        <is>
          <t>C</t>
        </is>
      </c>
      <c r="F19" s="36" t="inlineStr">
        <is>
          <t>C</t>
        </is>
      </c>
      <c r="G19" s="36" t="n"/>
      <c r="H19" s="36" t="inlineStr">
        <is>
          <t>A/R</t>
        </is>
      </c>
      <c r="I19" s="36" t="inlineStr">
        <is>
          <t>C</t>
        </is>
      </c>
      <c r="J19" s="36" t="inlineStr">
        <is>
          <t>C</t>
        </is>
      </c>
      <c r="K19" s="26">
        <f>IF(COUNTIF(D19:J19,"A*")=1,"OK","需修正")</f>
        <v/>
      </c>
    </row>
    <row r="20" ht="24" customHeight="1">
      <c r="A20" s="26" t="n">
        <v>16</v>
      </c>
      <c r="B20" s="78" t="inlineStr">
        <is>
          <t>④</t>
        </is>
      </c>
      <c r="C20" s="15" t="inlineStr">
        <is>
          <t>擴線機台差異驗證</t>
        </is>
      </c>
      <c r="D20" s="36" t="inlineStr">
        <is>
          <t>C</t>
        </is>
      </c>
      <c r="E20" s="36" t="inlineStr">
        <is>
          <t>A</t>
        </is>
      </c>
      <c r="F20" s="36" t="inlineStr">
        <is>
          <t>C</t>
        </is>
      </c>
      <c r="G20" s="36" t="inlineStr">
        <is>
          <t>R</t>
        </is>
      </c>
      <c r="H20" s="36" t="n"/>
      <c r="I20" s="36" t="n"/>
      <c r="J20" s="36" t="inlineStr">
        <is>
          <t>C</t>
        </is>
      </c>
      <c r="K20" s="26">
        <f>IF(COUNTIF(D20:J20,"A*")=1,"OK","需修正")</f>
        <v/>
      </c>
    </row>
    <row r="21" ht="24" customHeight="1">
      <c r="A21" s="26" t="n">
        <v>17</v>
      </c>
      <c r="B21" s="78" t="inlineStr">
        <is>
          <t>④</t>
        </is>
      </c>
      <c r="C21" s="15" t="inlineStr">
        <is>
          <t>檢驗規範文管發行與教育訓練</t>
        </is>
      </c>
      <c r="D21" s="36" t="inlineStr">
        <is>
          <t>R</t>
        </is>
      </c>
      <c r="E21" s="36" t="inlineStr">
        <is>
          <t>A</t>
        </is>
      </c>
      <c r="F21" s="36" t="inlineStr">
        <is>
          <t>C</t>
        </is>
      </c>
      <c r="G21" s="36" t="inlineStr">
        <is>
          <t>I</t>
        </is>
      </c>
      <c r="H21" s="36" t="n"/>
      <c r="I21" s="36" t="n"/>
      <c r="J21" s="36" t="inlineStr">
        <is>
          <t>C</t>
        </is>
      </c>
      <c r="K21" s="26">
        <f>IF(COUNTIF(D21:J21,"A*")=1,"OK","需修正")</f>
        <v/>
      </c>
    </row>
    <row r="22" ht="24" customHeight="1">
      <c r="A22" s="26" t="n">
        <v>18</v>
      </c>
      <c r="B22" s="79" t="inlineStr">
        <is>
          <t>全程</t>
        </is>
      </c>
      <c r="C22" s="15" t="inlineStr">
        <is>
          <t>Gate 審查與週會追蹤、升級管理</t>
        </is>
      </c>
      <c r="D22" s="36" t="inlineStr">
        <is>
          <t>C</t>
        </is>
      </c>
      <c r="E22" s="36" t="inlineStr">
        <is>
          <t>C</t>
        </is>
      </c>
      <c r="F22" s="36" t="inlineStr">
        <is>
          <t>C</t>
        </is>
      </c>
      <c r="G22" s="36" t="inlineStr">
        <is>
          <t>C</t>
        </is>
      </c>
      <c r="H22" s="36" t="inlineStr">
        <is>
          <t>C</t>
        </is>
      </c>
      <c r="I22" s="36" t="inlineStr">
        <is>
          <t>C</t>
        </is>
      </c>
      <c r="J22" s="36" t="inlineStr">
        <is>
          <t>A/R</t>
        </is>
      </c>
      <c r="K22" s="26">
        <f>IF(COUNTIF(D22:J22,"A*")=1,"OK","需修正")</f>
        <v/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4" t="inlineStr">
        <is>
          <t>R 數（執行負荷）</t>
        </is>
      </c>
      <c r="D24" s="26">
        <f>COUNTIF(D5:D22,"*R")</f>
        <v/>
      </c>
      <c r="E24" s="26">
        <f>COUNTIF(E5:E22,"*R")</f>
        <v/>
      </c>
      <c r="F24" s="26">
        <f>COUNTIF(F5:F22,"*R")</f>
        <v/>
      </c>
      <c r="G24" s="26">
        <f>COUNTIF(G5:G22,"*R")</f>
        <v/>
      </c>
      <c r="H24" s="26">
        <f>COUNTIF(H5:H22,"*R")</f>
        <v/>
      </c>
      <c r="I24" s="26">
        <f>COUNTIF(I5:I22,"*R")</f>
        <v/>
      </c>
      <c r="J24" s="26">
        <f>COUNTIF(J5:J22,"*R")</f>
        <v/>
      </c>
      <c r="K24" s="1" t="n"/>
    </row>
    <row r="25">
      <c r="A25" s="1" t="n"/>
      <c r="B25" s="1" t="n"/>
      <c r="C25" s="14" t="inlineStr">
        <is>
          <t>A 數（當責項目）</t>
        </is>
      </c>
      <c r="D25" s="26">
        <f>COUNTIF(D5:D22,"A*")</f>
        <v/>
      </c>
      <c r="E25" s="26">
        <f>COUNTIF(E5:E22,"A*")</f>
        <v/>
      </c>
      <c r="F25" s="26">
        <f>COUNTIF(F5:F22,"A*")</f>
        <v/>
      </c>
      <c r="G25" s="26">
        <f>COUNTIF(G5:G22,"A*")</f>
        <v/>
      </c>
      <c r="H25" s="26">
        <f>COUNTIF(H5:H22,"A*")</f>
        <v/>
      </c>
      <c r="I25" s="26">
        <f>COUNTIF(I5:I22,"A*")</f>
        <v/>
      </c>
      <c r="J25" s="26">
        <f>COUNTIF(J5:J22,"A*")</f>
        <v/>
      </c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74" t="inlineStr">
        <is>
          <t>註：章程與 Gate 審查之最終簽核由專案發起人（製造處處長）執行；表中「專案專員 A」代表對文件與流程之當責。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</sheetData>
  <conditionalFormatting sqref="D5:J22">
    <cfRule type="expression" priority="1" dxfId="7" stopIfTrue="1">
      <formula>LEFT(D5,1)="A"</formula>
    </cfRule>
    <cfRule type="cellIs" priority="2" operator="equal" dxfId="8">
      <formula>"R"</formula>
    </cfRule>
    <cfRule type="cellIs" priority="3" operator="equal" dxfId="9">
      <formula>"C"</formula>
    </cfRule>
    <cfRule type="cellIs" priority="4" operator="equal" dxfId="10">
      <formula>"I"</formula>
    </cfRule>
  </conditionalFormatting>
  <conditionalFormatting sqref="K5:K22">
    <cfRule type="cellIs" priority="5" operator="equal" dxfId="11">
      <formula>"需修正"</formula>
    </cfRule>
  </conditionalFormatting>
  <dataValidations count="1">
    <dataValidation sqref="D5:J22" showDropDown="0" showInputMessage="0" showErrorMessage="1" allowBlank="1" errorTitle="RACI" error="請輸入 R、A、C、I 或 A/R" type="list">
      <formula1>"R,A,C,I,A/R"</formula1>
    </dataValidation>
  </dataValidations>
  <printOptions horizontalCentered="1"/>
  <pageMargins left="0.4" right="0.4" top="0.5" bottom="0.5" header="0.5" footer="0.5"/>
  <pageSetup orientation="landscape" paperSize="9" fitToHeight="1" fitToWidth="1"/>
  <headerFooter>
    <oddHeader/>
    <oddFooter>&amp;C&amp;A　第 &amp;P / &amp;N 頁&amp;R模擬情境・非實際導入紀錄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34" customWidth="1" min="3" max="3"/>
    <col width="7" customWidth="1" min="4" max="4"/>
    <col width="7" customWidth="1" min="5" max="5"/>
    <col width="7" customWidth="1" min="6" max="6"/>
    <col width="6" customWidth="1" min="7" max="7"/>
    <col width="30" customWidth="1" min="8" max="8"/>
    <col width="42" customWidth="1" min="9" max="9"/>
    <col width="30" customWidth="1" min="10" max="10"/>
    <col width="11" customWidth="1" min="11" max="11"/>
    <col width="9" customWidth="1" min="12" max="12"/>
    <col width="9" customWidth="1" min="13" max="13"/>
    <col width="3" customWidth="1" min="14" max="14"/>
    <col width="11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28" customHeight="1">
      <c r="A1" s="27" t="inlineStr">
        <is>
          <t>風險清單（Risk Register）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8" t="inlineStr">
        <is>
          <t>機率、影響：1（極低）～5（極高）；風險值＝機率×影響；等級：≥ 15 高、8–14 中、≤ 7 低。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32" customHeight="1">
      <c r="A4" s="13" t="inlineStr">
        <is>
          <t>編號</t>
        </is>
      </c>
      <c r="B4" s="13" t="inlineStr">
        <is>
          <t>類別</t>
        </is>
      </c>
      <c r="C4" s="13" t="inlineStr">
        <is>
          <t>風險描述</t>
        </is>
      </c>
      <c r="D4" s="13" t="inlineStr">
        <is>
          <t>機率
(1-5)</t>
        </is>
      </c>
      <c r="E4" s="13" t="inlineStr">
        <is>
          <t>影響
(1-5)</t>
        </is>
      </c>
      <c r="F4" s="13" t="inlineStr">
        <is>
          <t>風險值</t>
        </is>
      </c>
      <c r="G4" s="13" t="inlineStr">
        <is>
          <t>等級</t>
        </is>
      </c>
      <c r="H4" s="13" t="inlineStr">
        <is>
          <t>觸發指標</t>
        </is>
      </c>
      <c r="I4" s="13" t="inlineStr">
        <is>
          <t>預防對策</t>
        </is>
      </c>
      <c r="J4" s="13" t="inlineStr">
        <is>
          <t>應變措施（觸發後）</t>
        </is>
      </c>
      <c r="K4" s="13" t="inlineStr">
        <is>
          <t>負責單位</t>
        </is>
      </c>
      <c r="L4" s="13" t="inlineStr">
        <is>
          <t>對應階段</t>
        </is>
      </c>
      <c r="M4" s="13" t="inlineStr">
        <is>
          <t>狀態</t>
        </is>
      </c>
      <c r="N4" s="1" t="n"/>
      <c r="O4" s="1" t="n"/>
      <c r="P4" s="1" t="n"/>
      <c r="Q4" s="1" t="n"/>
      <c r="R4" s="1" t="n"/>
      <c r="S4" s="1" t="n"/>
      <c r="T4" s="1" t="n"/>
    </row>
    <row r="5" ht="58" customHeight="1">
      <c r="A5" s="26" t="inlineStr">
        <is>
          <t>R01</t>
        </is>
      </c>
      <c r="B5" s="26" t="inlineStr">
        <is>
          <t>技術</t>
        </is>
      </c>
      <c r="C5" s="15" t="inlineStr">
        <is>
          <t>AI 判讀不穩／辨識能力不足：看不到小缺陷、缺陷分類混淆、尺寸量測偏差</t>
        </is>
      </c>
      <c r="D5" s="58" t="n">
        <v>5</v>
      </c>
      <c r="E5" s="58" t="n">
        <v>5</v>
      </c>
      <c r="F5" s="36">
        <f>D5*E5</f>
        <v/>
      </c>
      <c r="G5" s="36">
        <f>IF(F5&gt;=15,"高",IF(F5&gt;=8,"中","低"))</f>
        <v/>
      </c>
      <c r="H5" s="15" t="inlineStr">
        <is>
          <t>【已觸發】PoC v1（模擬）：漏判率 37.0%（10/27）；CHP 偵出率 14.8%、CRK 0%（被報成 SCR/CHP）；尺寸偏差 CHP 深度 −65%、CON 直徑 −57%、SCR 長度 +47%；Fleiss' kappa 0.39；重複性 77.5%（兩次不一致的 27 組中 15 組為量測跨過門檻、12 組為一次看到一次沒看到）。原觸發條件：漏判率 &gt; 5% 或重複性 &lt; 90%</t>
        </is>
      </c>
      <c r="I5" s="15" t="inlineStr">
        <is>
          <t>AI 只回缺陷分類、判定由規則推導（ADR-0001）；規範 v2：邊緣分塊放大檢查、尺寸改由框選範圍換算、不確定一律送人工複判（已執行：漏判率 0%、重複性 92.5%，但框選過鬆使誤判率升至 7.6%）</t>
        </is>
      </c>
      <c r="J5" s="15" t="inlineStr">
        <is>
          <t>② Gate（v1、v2）皆未通過、不進入 ③；規範 v2.1：框內找實際邊緣再量測、門檻 ±10% 送人工複判</t>
        </is>
      </c>
      <c r="K5" s="26" t="inlineStr">
        <is>
          <t>專案專員</t>
        </is>
      </c>
      <c r="L5" s="26" t="inlineStr">
        <is>
          <t>②③</t>
        </is>
      </c>
      <c r="M5" s="26" t="inlineStr">
        <is>
          <t>已觸發</t>
        </is>
      </c>
      <c r="N5" s="1" t="n"/>
      <c r="O5" s="1" t="n"/>
      <c r="P5" s="1" t="n"/>
      <c r="Q5" s="1" t="n"/>
      <c r="R5" s="1" t="n"/>
      <c r="S5" s="1" t="n"/>
      <c r="T5" s="1" t="n"/>
    </row>
    <row r="6" ht="58" customHeight="1">
      <c r="A6" s="26" t="inlineStr">
        <is>
          <t>R02</t>
        </is>
      </c>
      <c r="B6" s="26" t="inlineStr">
        <is>
          <t>技術</t>
        </is>
      </c>
      <c r="C6" s="15" t="inlineStr">
        <is>
          <t>影像品質／光源變異造成尺寸量測偏差</t>
        </is>
      </c>
      <c r="D6" s="58" t="n">
        <v>4</v>
      </c>
      <c r="E6" s="58" t="n">
        <v>4</v>
      </c>
      <c r="F6" s="36">
        <f>D6*E6</f>
        <v/>
      </c>
      <c r="G6" s="36">
        <f>IF(F6&gt;=15,"高",IF(F6&gt;=8,"中","低"))</f>
        <v/>
      </c>
      <c r="H6" s="15" t="inlineStr">
        <is>
          <t>每班標準片灰階值或 µm/px 校正值超出管制範圍</t>
        </is>
      </c>
      <c r="I6" s="15" t="inlineStr">
        <is>
          <t>固定光源治具與遮光罩；每班開線前標準片點檢；校正紀錄納入 OI</t>
        </is>
      </c>
      <c r="J6" s="15" t="inlineStr">
        <is>
          <t>當班影像標記不採用，改人工目檢；設備工程 4 小時內排除</t>
        </is>
      </c>
      <c r="K6" s="26" t="inlineStr">
        <is>
          <t>設備工程</t>
        </is>
      </c>
      <c r="L6" s="26" t="inlineStr">
        <is>
          <t>①③④</t>
        </is>
      </c>
      <c r="M6" s="26" t="inlineStr">
        <is>
          <t>監控中</t>
        </is>
      </c>
      <c r="N6" s="1" t="n"/>
      <c r="O6" s="1" t="n"/>
      <c r="P6" s="1" t="n"/>
      <c r="Q6" s="1" t="n"/>
      <c r="R6" s="1" t="n"/>
      <c r="S6" s="1" t="n"/>
      <c r="T6" s="1" t="n"/>
    </row>
    <row r="7" ht="58" customHeight="1">
      <c r="A7" s="26" t="inlineStr">
        <is>
          <t>R03</t>
        </is>
      </c>
      <c r="B7" s="26" t="inlineStr">
        <is>
          <t>組織</t>
        </is>
      </c>
      <c r="C7" s="15" t="inlineStr">
        <is>
          <t>現場抗拒：作業員擔心被取代或增加雙軌工作量</t>
        </is>
      </c>
      <c r="D7" s="58" t="n">
        <v>3</v>
      </c>
      <c r="E7" s="58" t="n">
        <v>3</v>
      </c>
      <c r="F7" s="36">
        <f>D7*E7</f>
        <v/>
      </c>
      <c r="G7" s="36">
        <f>IF(F7&gt;=15,"高",IF(F7&gt;=8,"中","低"))</f>
        <v/>
      </c>
      <c r="H7" s="15" t="inlineStr">
        <is>
          <t>並行比對紀錄漏填率 &gt; 5%；人工複判單積壓 &gt; 1 班</t>
        </is>
      </c>
      <c r="I7" s="15" t="inlineStr">
        <is>
          <t>定位為「輔助判定」；邀作業員參與規範制定與試行檢討；可視化回饋其複判貢獻</t>
        </is>
      </c>
      <c r="J7" s="15" t="inlineStr">
        <is>
          <t>由班長一對一溝通；必要時升級製造部主管調整排班</t>
        </is>
      </c>
      <c r="K7" s="26" t="inlineStr">
        <is>
          <t>生產/製造</t>
        </is>
      </c>
      <c r="L7" s="26" t="inlineStr">
        <is>
          <t>③</t>
        </is>
      </c>
      <c r="M7" s="26" t="inlineStr">
        <is>
          <t>監控中</t>
        </is>
      </c>
      <c r="N7" s="1" t="n"/>
      <c r="O7" s="1" t="n"/>
      <c r="P7" s="1" t="n"/>
      <c r="Q7" s="1" t="n"/>
      <c r="R7" s="1" t="n"/>
      <c r="S7" s="1" t="n"/>
      <c r="T7" s="1" t="n"/>
    </row>
    <row r="8" ht="58" customHeight="1">
      <c r="A8" s="26" t="inlineStr">
        <is>
          <t>R04</t>
        </is>
      </c>
      <c r="B8" s="26" t="inlineStr">
        <is>
          <t>組織</t>
        </is>
      </c>
      <c r="C8" s="15" t="inlineStr">
        <is>
          <t>規範爭議：QA／製程／製造對允收標準看法不一</t>
        </is>
      </c>
      <c r="D8" s="58" t="n">
        <v>4</v>
      </c>
      <c r="E8" s="58" t="n">
        <v>3</v>
      </c>
      <c r="F8" s="36">
        <f>D8*E8</f>
        <v/>
      </c>
      <c r="G8" s="36">
        <f>IF(F8&gt;=15,"高",IF(F8&gt;=8,"中","低"))</f>
        <v/>
      </c>
      <c r="H8" s="15" t="inlineStr">
        <is>
          <t>規範審查會後未結議題 &gt; 2 項；規範發行延遲 &gt; 1 週</t>
        </is>
      </c>
      <c r="I8" s="15" t="inlineStr">
        <is>
          <t>以客戶規格為底線；爭議項暫列判定 Warning 送人工複判並蒐集數據；檢驗規範版本控管</t>
        </is>
      </c>
      <c r="J8" s="15" t="inlineStr">
        <is>
          <t>升級跨部門主管會議裁決</t>
        </is>
      </c>
      <c r="K8" s="26" t="inlineStr">
        <is>
          <t>QA/品保</t>
        </is>
      </c>
      <c r="L8" s="26" t="inlineStr">
        <is>
          <t>①②</t>
        </is>
      </c>
      <c r="M8" s="26" t="inlineStr">
        <is>
          <t>已觸發</t>
        </is>
      </c>
      <c r="N8" s="1" t="n"/>
      <c r="O8" s="1" t="n"/>
      <c r="P8" s="1" t="n"/>
      <c r="Q8" s="1" t="n"/>
      <c r="R8" s="1" t="n"/>
      <c r="S8" s="1" t="n"/>
      <c r="T8" s="1" t="n"/>
    </row>
    <row r="9" ht="58" customHeight="1">
      <c r="A9" s="26" t="inlineStr">
        <is>
          <t>R05</t>
        </is>
      </c>
      <c r="B9" s="26" t="inlineStr">
        <is>
          <t>時程</t>
        </is>
      </c>
      <c r="C9" s="15" t="inlineStr">
        <is>
          <t>MES 介接延誤（IT 資源被其他專案佔用）</t>
        </is>
      </c>
      <c r="D9" s="58" t="n">
        <v>3</v>
      </c>
      <c r="E9" s="58" t="n">
        <v>4</v>
      </c>
      <c r="F9" s="36">
        <f>D9*E9</f>
        <v/>
      </c>
      <c r="G9" s="36">
        <f>IF(F9&gt;=15,"高",IF(F9&gt;=8,"中","低"))</f>
        <v/>
      </c>
      <c r="H9" s="15" t="inlineStr">
        <is>
          <t>介接規格未於 W16 凍結；開發進度落後 &gt; 1 週</t>
        </is>
      </c>
      <c r="I9" s="15" t="inlineStr">
        <is>
          <t>④ 規格提前於 W14 啟動；介接欄位最小化（判定、缺陷代碼、規範版本、批號）</t>
        </is>
      </c>
      <c r="J9" s="15" t="inlineStr">
        <is>
          <t>過渡期以檔案拋轉（CSV）匯入；上線順延不影響 ③ 成效</t>
        </is>
      </c>
      <c r="K9" s="26" t="inlineStr">
        <is>
          <t>IT/MES</t>
        </is>
      </c>
      <c r="L9" s="26" t="inlineStr">
        <is>
          <t>④</t>
        </is>
      </c>
      <c r="M9" s="26" t="inlineStr">
        <is>
          <t>監控中</t>
        </is>
      </c>
      <c r="N9" s="1" t="n"/>
      <c r="O9" s="1" t="n"/>
      <c r="P9" s="1" t="n"/>
      <c r="Q9" s="1" t="n"/>
      <c r="R9" s="1" t="n"/>
      <c r="S9" s="1" t="n"/>
      <c r="T9" s="1" t="n"/>
    </row>
    <row r="10" ht="58" customHeight="1">
      <c r="A10" s="26" t="inlineStr">
        <is>
          <t>R06</t>
        </is>
      </c>
      <c r="B10" s="26" t="inlineStr">
        <is>
          <t>資料</t>
        </is>
      </c>
      <c r="C10" s="15" t="inlineStr">
        <is>
          <t>標準樣本不足（CRK 等稀少缺陷、邊界樣本不足）</t>
        </is>
      </c>
      <c r="D10" s="58" t="n">
        <v>4</v>
      </c>
      <c r="E10" s="58" t="n">
        <v>4</v>
      </c>
      <c r="F10" s="36">
        <f>D10*E10</f>
        <v/>
      </c>
      <c r="G10" s="36">
        <f>IF(F10&gt;=15,"高",IF(F10&gt;=8,"中","低"))</f>
        <v/>
      </c>
      <c r="H10" s="15" t="inlineStr">
        <is>
          <t>任一缺陷分類樣本 &lt; 5 顆或邊界樣本 &lt; 3 顆</t>
        </is>
      </c>
      <c r="I10" s="15" t="inlineStr">
        <is>
          <t>延長收集期；納入客退品與工程片；不足處以半合成樣本補足並明確標示（ADR-0002）</t>
        </is>
      </c>
      <c r="J10" s="15" t="inlineStr">
        <is>
          <t>該缺陷分類於試行期一律判定 Warning 送人工複判</t>
        </is>
      </c>
      <c r="K10" s="26" t="inlineStr">
        <is>
          <t>QA/品保</t>
        </is>
      </c>
      <c r="L10" s="26" t="inlineStr">
        <is>
          <t>①②</t>
        </is>
      </c>
      <c r="M10" s="26" t="inlineStr">
        <is>
          <t>監控中</t>
        </is>
      </c>
      <c r="N10" s="1" t="n"/>
      <c r="O10" s="1" t="n"/>
      <c r="P10" s="1" t="n"/>
      <c r="Q10" s="1" t="n"/>
      <c r="R10" s="1" t="n"/>
      <c r="S10" s="1" t="n"/>
      <c r="T10" s="1" t="n"/>
    </row>
    <row r="11" ht="58" customHeight="1">
      <c r="A11" s="26" t="inlineStr">
        <is>
          <t>R07</t>
        </is>
      </c>
      <c r="B11" s="26" t="inlineStr">
        <is>
          <t>技術</t>
        </is>
      </c>
      <c r="C11" s="15" t="inlineStr">
        <is>
          <t>機台差異：擴線後各取像站結果不一致</t>
        </is>
      </c>
      <c r="D11" s="58" t="n">
        <v>3</v>
      </c>
      <c r="E11" s="58" t="n">
        <v>4</v>
      </c>
      <c r="F11" s="36">
        <f>D11*E11</f>
        <v/>
      </c>
      <c r="G11" s="36">
        <f>IF(F11&gt;=15,"高",IF(F11&gt;=8,"中","低"))</f>
        <v/>
      </c>
      <c r="H11" s="15" t="inlineStr">
        <is>
          <t>機台間對標準樣本集一致率差 &gt; 5%</t>
        </is>
      </c>
      <c r="I11" s="15" t="inlineStr">
        <is>
          <t>每台上線前做一致性分析；統一治具規格與校正程序</t>
        </is>
      </c>
      <c r="J11" s="15" t="inlineStr">
        <is>
          <t>差異機台暫不上線，設備工程比對光學條件</t>
        </is>
      </c>
      <c r="K11" s="26" t="inlineStr">
        <is>
          <t>設備工程</t>
        </is>
      </c>
      <c r="L11" s="26" t="inlineStr">
        <is>
          <t>④</t>
        </is>
      </c>
      <c r="M11" s="26" t="inlineStr">
        <is>
          <t>監控中</t>
        </is>
      </c>
      <c r="N11" s="1" t="n"/>
      <c r="O11" s="1" t="n"/>
      <c r="P11" s="1" t="n"/>
      <c r="Q11" s="1" t="n"/>
      <c r="R11" s="1" t="n"/>
      <c r="S11" s="1" t="n"/>
      <c r="T11" s="1" t="n"/>
    </row>
    <row r="12" ht="58" customHeight="1">
      <c r="A12" s="26" t="inlineStr">
        <is>
          <t>R08</t>
        </is>
      </c>
      <c r="B12" s="26" t="inlineStr">
        <is>
          <t>資安</t>
        </is>
      </c>
      <c r="C12" s="15" t="inlineStr">
        <is>
          <t>資安／資料外流：晶粒影像送雲端 AI 服務</t>
        </is>
      </c>
      <c r="D12" s="58" t="n">
        <v>2</v>
      </c>
      <c r="E12" s="58" t="n">
        <v>5</v>
      </c>
      <c r="F12" s="36">
        <f>D12*E12</f>
        <v/>
      </c>
      <c r="G12" s="36">
        <f>IF(F12&gt;=15,"高",IF(F12&gt;=8,"中","低"))</f>
        <v/>
      </c>
      <c r="H12" s="15" t="inlineStr">
        <is>
          <t>資安審查未通過；客戶 NDA 限制影像外傳</t>
        </is>
      </c>
      <c r="I12" s="15" t="inlineStr">
        <is>
          <t>影像去識別化（裁切、移除批號與條碼）；企業合約確認不留存、不用於訓練；同步評估地端方案</t>
        </is>
      </c>
      <c r="J12" s="15" t="inlineStr">
        <is>
          <t>暫停雲端呼叫，切換地端方案或延後 ③</t>
        </is>
      </c>
      <c r="K12" s="26" t="inlineStr">
        <is>
          <t>IT/MES</t>
        </is>
      </c>
      <c r="L12" s="26" t="inlineStr">
        <is>
          <t>②③④</t>
        </is>
      </c>
      <c r="M12" s="26" t="inlineStr">
        <is>
          <t>監控中</t>
        </is>
      </c>
      <c r="N12" s="1" t="n"/>
      <c r="O12" s="1" t="n"/>
      <c r="P12" s="1" t="n"/>
      <c r="Q12" s="1" t="n"/>
      <c r="R12" s="1" t="n"/>
      <c r="S12" s="1" t="n"/>
      <c r="T12" s="1" t="n"/>
    </row>
    <row r="13" ht="58" customHeight="1">
      <c r="A13" s="26" t="inlineStr">
        <is>
          <t>R09</t>
        </is>
      </c>
      <c r="B13" s="26" t="inlineStr">
        <is>
          <t>品質</t>
        </is>
      </c>
      <c r="C13" s="15" t="inlineStr">
        <is>
          <t>AI 漏判造成不良品流出</t>
        </is>
      </c>
      <c r="D13" s="58" t="n">
        <v>3</v>
      </c>
      <c r="E13" s="58" t="n">
        <v>5</v>
      </c>
      <c r="F13" s="36">
        <f>D13*E13</f>
        <v/>
      </c>
      <c r="G13" s="36">
        <f>IF(F13&gt;=15,"高",IF(F13&gt;=8,"中","低"))</f>
        <v/>
      </c>
      <c r="H13" s="15" t="inlineStr">
        <is>
          <t>PoC v1 模擬漏判率 37.0% 已顯示風險升高；試行期觸發：並行比對中「AI Pass／人工 Fail」件數 &gt; 0（Fail 類缺陷）</t>
        </is>
      </c>
      <c r="I13" s="15" t="inlineStr">
        <is>
          <t>試行期 AI 不影響放行；CRK 任何長度一律 Fail；漏判案例 24 小時內檢討並回饋規範</t>
        </is>
      </c>
      <c r="J13" s="15" t="inlineStr">
        <is>
          <t>啟動異常處置單、追溯同批晶粒、通知 QA 主管</t>
        </is>
      </c>
      <c r="K13" s="26" t="inlineStr">
        <is>
          <t>QA/品保</t>
        </is>
      </c>
      <c r="L13" s="26" t="inlineStr">
        <is>
          <t>③④</t>
        </is>
      </c>
      <c r="M13" s="26" t="inlineStr">
        <is>
          <t>監控中</t>
        </is>
      </c>
      <c r="N13" s="1" t="n"/>
      <c r="O13" s="1" t="n"/>
      <c r="P13" s="1" t="n"/>
      <c r="Q13" s="1" t="n"/>
      <c r="R13" s="1" t="n"/>
      <c r="S13" s="1" t="n"/>
      <c r="T13" s="1" t="n"/>
    </row>
    <row r="14" ht="58" customHeight="1">
      <c r="A14" s="26" t="inlineStr">
        <is>
          <t>R10</t>
        </is>
      </c>
      <c r="B14" s="26" t="inlineStr">
        <is>
          <t>營運</t>
        </is>
      </c>
      <c r="C14" s="15" t="inlineStr">
        <is>
          <t>雙軌作業造成目檢站人力負荷與產出下降</t>
        </is>
      </c>
      <c r="D14" s="58" t="n">
        <v>4</v>
      </c>
      <c r="E14" s="58" t="n">
        <v>2</v>
      </c>
      <c r="F14" s="36">
        <f>D14*E14</f>
        <v/>
      </c>
      <c r="G14" s="36">
        <f>IF(F14&gt;=15,"高",IF(F14&gt;=8,"中","低"))</f>
        <v/>
      </c>
      <c r="H14" s="15" t="inlineStr">
        <is>
          <t>目檢站加班時數 &gt; 基準 20%；站點 WIP 高於管制量</t>
        </is>
      </c>
      <c r="I14" s="15" t="inlineStr">
        <is>
          <t>並行比對改抽樣（如每批 50 顆）；生管預先調整排程</t>
        </is>
      </c>
      <c r="J14" s="15" t="inlineStr">
        <is>
          <t>縮小抽樣比例或延長試行期</t>
        </is>
      </c>
      <c r="K14" s="26" t="inlineStr">
        <is>
          <t>生管</t>
        </is>
      </c>
      <c r="L14" s="26" t="inlineStr">
        <is>
          <t>③</t>
        </is>
      </c>
      <c r="M14" s="26" t="inlineStr">
        <is>
          <t>監控中</t>
        </is>
      </c>
      <c r="N14" s="1" t="n"/>
      <c r="O14" s="1" t="n"/>
      <c r="P14" s="1" t="n"/>
      <c r="Q14" s="1" t="n"/>
      <c r="R14" s="1" t="n"/>
      <c r="S14" s="1" t="n"/>
      <c r="T14" s="1" t="n"/>
    </row>
    <row r="15" ht="58" customHeight="1">
      <c r="A15" s="26" t="inlineStr">
        <is>
          <t>R11</t>
        </is>
      </c>
      <c r="B15" s="26" t="inlineStr">
        <is>
          <t>技術</t>
        </is>
      </c>
      <c r="C15" s="15" t="inlineStr">
        <is>
          <t>預警誤報過多，造成處置疲乏</t>
        </is>
      </c>
      <c r="D15" s="58" t="n">
        <v>2</v>
      </c>
      <c r="E15" s="58" t="n">
        <v>3</v>
      </c>
      <c r="F15" s="36">
        <f>D15*E15</f>
        <v/>
      </c>
      <c r="G15" s="36">
        <f>IF(F15&gt;=15,"高",IF(F15&gt;=8,"中","低"))</f>
        <v/>
      </c>
      <c r="H15" s="15" t="inlineStr">
        <is>
          <t>預警批中經確認非真異常比例 &gt; 50%</t>
        </is>
      </c>
      <c r="I15" s="15" t="inlineStr">
        <is>
          <t>判異規則分級（僅超 UCL 強制處置、趨勢型先通知）；試行後依數據調整</t>
        </is>
      </c>
      <c r="J15" s="15" t="inlineStr">
        <is>
          <t>暫停趨勢型預警通知，僅保留超出 UCL</t>
        </is>
      </c>
      <c r="K15" s="26" t="inlineStr">
        <is>
          <t>製程工程</t>
        </is>
      </c>
      <c r="L15" s="26" t="inlineStr">
        <is>
          <t>③</t>
        </is>
      </c>
      <c r="M15" s="26" t="inlineStr">
        <is>
          <t>監控中</t>
        </is>
      </c>
      <c r="N15" s="1" t="n"/>
      <c r="O15" s="1" t="n"/>
      <c r="P15" s="1" t="n"/>
      <c r="Q15" s="1" t="n"/>
      <c r="R15" s="1" t="n"/>
      <c r="S15" s="1" t="n"/>
      <c r="T15" s="1" t="n"/>
    </row>
    <row r="16" ht="58" customHeight="1">
      <c r="A16" s="26" t="inlineStr">
        <is>
          <t>R12</t>
        </is>
      </c>
      <c r="B16" s="26" t="inlineStr">
        <is>
          <t>成本</t>
        </is>
      </c>
      <c r="C16" s="15" t="inlineStr">
        <is>
          <t>AI 服務費用／API 額度不足，影響驗證完整性與節拍</t>
        </is>
      </c>
      <c r="D16" s="58" t="n">
        <v>4</v>
      </c>
      <c r="E16" s="58" t="n">
        <v>3</v>
      </c>
      <c r="F16" s="36">
        <f>D16*E16</f>
        <v/>
      </c>
      <c r="G16" s="36">
        <f>IF(F16&gt;=15,"高",IF(F16&gt;=8,"中","低"))</f>
        <v/>
      </c>
      <c r="H16" s="15" t="inlineStr">
        <is>
          <t>【已觸發】PoC v1 執行中 API 額度耗盡（335 次呼叫、US$2.28），第 2 次判定中斷；加值後從快取補跑完成（共 504 次、US$3.46）；v2 重跑（240 次、US$9.55，原估 US$3–4）中再遇帳戶餘額不足與每月用量上限，兩次皆從快取續跑、無重複呼叫</t>
        </is>
      </c>
      <c r="I16" s="15" t="inlineStr">
        <is>
          <t>實驗前依前導測試估算成本並設預算上限；v2 先以小樣本估成本；量產僅送 AOI 疑似片或灰色地帶影像</t>
        </is>
      </c>
      <c r="J16" s="15" t="inlineStr">
        <is>
          <t>申請預算加值後從快取續跑；評估較小模型或地端方案</t>
        </is>
      </c>
      <c r="K16" s="26" t="inlineStr">
        <is>
          <t>專案專員</t>
        </is>
      </c>
      <c r="L16" s="26" t="inlineStr">
        <is>
          <t>②③④</t>
        </is>
      </c>
      <c r="M16" s="26" t="inlineStr">
        <is>
          <t>已觸發</t>
        </is>
      </c>
      <c r="N16" s="1" t="n"/>
      <c r="O16" s="1" t="n"/>
      <c r="P16" s="1" t="n"/>
      <c r="Q16" s="1" t="n"/>
      <c r="R16" s="1" t="n"/>
      <c r="S16" s="1" t="n"/>
      <c r="T16" s="1" t="n"/>
    </row>
    <row r="17" ht="58" customHeight="1">
      <c r="A17" s="26" t="inlineStr">
        <is>
          <t>R13</t>
        </is>
      </c>
      <c r="B17" s="26" t="inlineStr">
        <is>
          <t>時程</t>
        </is>
      </c>
      <c r="C17" s="15" t="inlineStr">
        <is>
          <t>光源治具交期延遲，影響試行線取像站安裝</t>
        </is>
      </c>
      <c r="D17" s="58" t="n">
        <v>4</v>
      </c>
      <c r="E17" s="58" t="n">
        <v>3</v>
      </c>
      <c r="F17" s="36">
        <f>D17*E17</f>
        <v/>
      </c>
      <c r="G17" s="36">
        <f>IF(F17&gt;=15,"高",IF(F17&gt;=8,"中","低"))</f>
        <v/>
      </c>
      <c r="H17" s="15" t="inlineStr">
        <is>
          <t>W8 前未取得供應商出貨確認</t>
        </is>
      </c>
      <c r="I17" s="15" t="inlineStr">
        <is>
          <t>W3 即請購（長交期項目提前）；向供應商取得書面交期</t>
        </is>
      </c>
      <c r="J17" s="15" t="inlineStr">
        <is>
          <t>借用研發治具過渡；升級採購主管催料</t>
        </is>
      </c>
      <c r="K17" s="26" t="inlineStr">
        <is>
          <t>設備工程</t>
        </is>
      </c>
      <c r="L17" s="26" t="inlineStr">
        <is>
          <t>③</t>
        </is>
      </c>
      <c r="M17" s="26" t="inlineStr">
        <is>
          <t>已觸發</t>
        </is>
      </c>
      <c r="N17" s="1" t="n"/>
      <c r="O17" s="1" t="n"/>
      <c r="P17" s="1" t="n"/>
      <c r="Q17" s="1" t="n"/>
      <c r="R17" s="1" t="n"/>
      <c r="S17" s="1" t="n"/>
      <c r="T17" s="1" t="n"/>
    </row>
    <row r="18" ht="58" customHeight="1">
      <c r="A18" s="26" t="inlineStr">
        <is>
          <t>R14</t>
        </is>
      </c>
      <c r="B18" s="26" t="inlineStr">
        <is>
          <t>技術</t>
        </is>
      </c>
      <c r="C18" s="15" t="inlineStr">
        <is>
          <t>預警未能提早：判異規則敏感度不足、AI 漏判掩蓋漂移</t>
        </is>
      </c>
      <c r="D18" s="58" t="n">
        <v>4</v>
      </c>
      <c r="E18" s="58" t="n">
        <v>4</v>
      </c>
      <c r="F18" s="36">
        <f>D18*E18</f>
        <v/>
      </c>
      <c r="G18" s="36">
        <f>IF(F18&gt;=15,"高",IF(F18&gt;=8,"中","低"))</f>
        <v/>
      </c>
      <c r="H18" s="15" t="inlineStr">
        <is>
          <t>【已觸發】25 批漂移情境模擬：首次預警＝首次異常＝L24，提早 0 批（完美判定亦未提早）；無人工複判時漂移完全未被偵出；基準期 L10 誤警報</t>
        </is>
      </c>
      <c r="I18" s="15" t="inlineStr">
        <is>
          <t>AI 判 Warning 之晶粒必送人工複判；以 v2 實測誤差重新驗證判異規則（2.11）</t>
        </is>
      </c>
      <c r="J18" s="15" t="inlineStr">
        <is>
          <t>預警提早批數未達 ≥ 2 批前，不以「提早預警」作為導入效益宣稱</t>
        </is>
      </c>
      <c r="K18" s="26" t="inlineStr">
        <is>
          <t>製程工程</t>
        </is>
      </c>
      <c r="L18" s="26" t="inlineStr">
        <is>
          <t>②③</t>
        </is>
      </c>
      <c r="M18" s="26" t="inlineStr">
        <is>
          <t>已觸發</t>
        </is>
      </c>
      <c r="N18" s="1" t="n"/>
      <c r="O18" s="1" t="n"/>
      <c r="P18" s="1" t="n"/>
      <c r="Q18" s="1" t="n"/>
      <c r="R18" s="1" t="n"/>
      <c r="S18" s="1" t="n"/>
      <c r="T18" s="1" t="n"/>
    </row>
    <row r="19" ht="58" customHeight="1">
      <c r="A19" s="26" t="inlineStr">
        <is>
          <t>R15</t>
        </is>
      </c>
      <c r="B19" s="26" t="inlineStr">
        <is>
          <t>組織</t>
        </is>
      </c>
      <c r="C19" s="15" t="inlineStr">
        <is>
          <t>關鍵人員異動或春節長假造成進度中斷</t>
        </is>
      </c>
      <c r="D19" s="58" t="n">
        <v>3</v>
      </c>
      <c r="E19" s="58" t="n">
        <v>2</v>
      </c>
      <c r="F19" s="36">
        <f>D19*E19</f>
        <v/>
      </c>
      <c r="G19" s="36">
        <f>IF(F19&gt;=15,"高",IF(F19&gt;=8,"中","低"))</f>
        <v/>
      </c>
      <c r="H19" s="15" t="inlineStr">
        <is>
          <t>核心成員異動；春節前 2 週未完成交接</t>
        </is>
      </c>
      <c r="I19" s="15" t="inlineStr">
        <is>
          <t>每項任務指定代理人；文件化；春節週排程預留緩衝</t>
        </is>
      </c>
      <c r="J19" s="15" t="inlineStr">
        <is>
          <t>專案專員暫代並向發起人報告</t>
        </is>
      </c>
      <c r="K19" s="26" t="inlineStr">
        <is>
          <t>專案專員</t>
        </is>
      </c>
      <c r="L19" s="26" t="inlineStr">
        <is>
          <t>全程</t>
        </is>
      </c>
      <c r="M19" s="26" t="inlineStr">
        <is>
          <t>監控中</t>
        </is>
      </c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80" t="inlineStr">
        <is>
          <t>風險矩陣（各格為風險數，公式統計）</t>
        </is>
      </c>
      <c r="P21" s="1" t="n"/>
      <c r="Q21" s="1" t="n"/>
      <c r="R21" s="1" t="n"/>
      <c r="S21" s="1" t="n"/>
      <c r="T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81" t="inlineStr">
        <is>
          <t>機率＼影響</t>
        </is>
      </c>
      <c r="P22" s="81" t="n">
        <v>1</v>
      </c>
      <c r="Q22" s="81" t="n">
        <v>2</v>
      </c>
      <c r="R22" s="81" t="n">
        <v>3</v>
      </c>
      <c r="S22" s="81" t="n">
        <v>4</v>
      </c>
      <c r="T22" s="81" t="n">
        <v>5</v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81" t="n">
        <v>5</v>
      </c>
      <c r="P23" s="82">
        <f>COUNTIFS($D$5:$D$19,5,$E$5:$E$19,1)</f>
        <v/>
      </c>
      <c r="Q23" s="83">
        <f>COUNTIFS($D$5:$D$19,5,$E$5:$E$19,2)</f>
        <v/>
      </c>
      <c r="R23" s="20">
        <f>COUNTIFS($D$5:$D$19,5,$E$5:$E$19,3)</f>
        <v/>
      </c>
      <c r="S23" s="20">
        <f>COUNTIFS($D$5:$D$19,5,$E$5:$E$19,4)</f>
        <v/>
      </c>
      <c r="T23" s="20">
        <f>COUNTIFS($D$5:$D$19,5,$E$5:$E$19,5)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81" t="n">
        <v>4</v>
      </c>
      <c r="P24" s="82">
        <f>COUNTIFS($D$5:$D$19,4,$E$5:$E$19,1)</f>
        <v/>
      </c>
      <c r="Q24" s="83">
        <f>COUNTIFS($D$5:$D$19,4,$E$5:$E$19,2)</f>
        <v/>
      </c>
      <c r="R24" s="83">
        <f>COUNTIFS($D$5:$D$19,4,$E$5:$E$19,3)</f>
        <v/>
      </c>
      <c r="S24" s="20">
        <f>COUNTIFS($D$5:$D$19,4,$E$5:$E$19,4)</f>
        <v/>
      </c>
      <c r="T24" s="20">
        <f>COUNTIFS($D$5:$D$19,4,$E$5:$E$19,5)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81" t="n">
        <v>3</v>
      </c>
      <c r="P25" s="82">
        <f>COUNTIFS($D$5:$D$19,3,$E$5:$E$19,1)</f>
        <v/>
      </c>
      <c r="Q25" s="82">
        <f>COUNTIFS($D$5:$D$19,3,$E$5:$E$19,2)</f>
        <v/>
      </c>
      <c r="R25" s="83">
        <f>COUNTIFS($D$5:$D$19,3,$E$5:$E$19,3)</f>
        <v/>
      </c>
      <c r="S25" s="83">
        <f>COUNTIFS($D$5:$D$19,3,$E$5:$E$19,4)</f>
        <v/>
      </c>
      <c r="T25" s="20">
        <f>COUNTIFS($D$5:$D$19,3,$E$5:$E$19,5)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81" t="n">
        <v>2</v>
      </c>
      <c r="P26" s="82">
        <f>COUNTIFS($D$5:$D$19,2,$E$5:$E$19,1)</f>
        <v/>
      </c>
      <c r="Q26" s="82">
        <f>COUNTIFS($D$5:$D$19,2,$E$5:$E$19,2)</f>
        <v/>
      </c>
      <c r="R26" s="82">
        <f>COUNTIFS($D$5:$D$19,2,$E$5:$E$19,3)</f>
        <v/>
      </c>
      <c r="S26" s="83">
        <f>COUNTIFS($D$5:$D$19,2,$E$5:$E$19,4)</f>
        <v/>
      </c>
      <c r="T26" s="83">
        <f>COUNTIFS($D$5:$D$19,2,$E$5:$E$19,5)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81" t="n">
        <v>1</v>
      </c>
      <c r="P27" s="82">
        <f>COUNTIFS($D$5:$D$19,1,$E$5:$E$19,1)</f>
        <v/>
      </c>
      <c r="Q27" s="82">
        <f>COUNTIFS($D$5:$D$19,1,$E$5:$E$19,2)</f>
        <v/>
      </c>
      <c r="R27" s="82">
        <f>COUNTIFS($D$5:$D$19,1,$E$5:$E$19,3)</f>
        <v/>
      </c>
      <c r="S27" s="82">
        <f>COUNTIFS($D$5:$D$19,1,$E$5:$E$19,4)</f>
        <v/>
      </c>
      <c r="T27" s="82">
        <f>COUNTIFS($D$5:$D$19,1,$E$5:$E$19,5)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81" t="inlineStr">
        <is>
          <t>等級</t>
        </is>
      </c>
      <c r="P30" s="81" t="inlineStr">
        <is>
          <t>數量</t>
        </is>
      </c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36" t="inlineStr">
        <is>
          <t>高</t>
        </is>
      </c>
      <c r="P31" s="26">
        <f>COUNTIF($G$5:$G$19,"高")</f>
        <v/>
      </c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36" t="inlineStr">
        <is>
          <t>中</t>
        </is>
      </c>
      <c r="P32" s="26">
        <f>COUNTIF($G$5:$G$19,"中")</f>
        <v/>
      </c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36" t="inlineStr">
        <is>
          <t>低</t>
        </is>
      </c>
      <c r="P33" s="26">
        <f>COUNTIF($G$5:$G$19,"低")</f>
        <v/>
      </c>
      <c r="Q33" s="1" t="n"/>
      <c r="R33" s="1" t="n"/>
      <c r="S33" s="1" t="n"/>
      <c r="T33" s="1" t="n"/>
    </row>
  </sheetData>
  <autoFilter ref="A4:M19"/>
  <conditionalFormatting sqref="F5:F19">
    <cfRule type="expression" priority="1" dxfId="11" stopIfTrue="1">
      <formula>$F5&gt;=15</formula>
    </cfRule>
    <cfRule type="expression" priority="2" dxfId="12" stopIfTrue="1">
      <formula>$F5&gt;=8</formula>
    </cfRule>
    <cfRule type="expression" priority="3" dxfId="13">
      <formula>$F5&lt;8</formula>
    </cfRule>
  </conditionalFormatting>
  <conditionalFormatting sqref="G5:G19">
    <cfRule type="expression" priority="4" dxfId="11" stopIfTrue="1">
      <formula>$F5&gt;=15</formula>
    </cfRule>
    <cfRule type="expression" priority="5" dxfId="12" stopIfTrue="1">
      <formula>$F5&gt;=8</formula>
    </cfRule>
    <cfRule type="expression" priority="6" dxfId="13">
      <formula>$F5&lt;8</formula>
    </cfRule>
  </conditionalFormatting>
  <dataValidations count="2">
    <dataValidation sqref="D5:E19" showDropDown="0" showInputMessage="0" showErrorMessage="1" allowBlank="0" error="請輸入 1–5 整數" type="whole" operator="between">
      <formula1>1</formula1>
      <formula2>5</formula2>
    </dataValidation>
    <dataValidation sqref="M5:M19" showDropDown="0" showInputMessage="0" showErrorMessage="0" allowBlank="1" type="list">
      <formula1>"監控中,已觸發,已關閉"</formula1>
    </dataValidation>
  </dataValidations>
  <printOptions horizontalCentered="1"/>
  <pageMargins left="0.4" right="0.4" top="0.5" bottom="0.5" header="0.5" footer="0.5"/>
  <pageSetup orientation="landscape" paperSize="8" fitToHeight="1" fitToWidth="1"/>
  <headerFooter>
    <oddHeader/>
    <oddFooter>&amp;C&amp;A　第 &amp;P / &amp;N 頁&amp;R模擬情境・非實際導入紀錄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40" customWidth="1" min="4" max="4"/>
    <col width="22" customWidth="1" min="5" max="5"/>
    <col width="12" customWidth="1" min="6" max="6"/>
    <col width="10" customWidth="1" min="7" max="7"/>
    <col width="14" customWidth="1" min="8" max="8"/>
    <col width="12" customWidth="1" min="9" max="9"/>
    <col width="8" customWidth="1" min="10" max="10"/>
    <col width="44" customWidth="1" min="11" max="11"/>
  </cols>
  <sheetData>
    <row r="1" ht="28" customHeight="1">
      <c r="A1" s="27" t="inlineStr">
        <is>
          <t>週會追蹤表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84" t="n">
        <v>46412</v>
      </c>
      <c r="C2" s="28" t="inlineStr">
        <is>
          <t>（W13，② 規範 v2 修訂期）　升級原則：同一卡關項目追蹤 2 次未解 → 升一級；影響 Gate 或跨部門資源 → 直接提跨部門主管會議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4" t="inlineStr">
        <is>
          <t>狀態彙總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81" t="inlineStr">
        <is>
          <t>進行中</t>
        </is>
      </c>
      <c r="C5" s="36">
        <f>COUNTIF($G$9:$G$33,"進行中")</f>
        <v/>
      </c>
      <c r="D5" s="81" t="inlineStr">
        <is>
          <t>卡關</t>
        </is>
      </c>
      <c r="E5" s="36">
        <f>COUNTIF($G$9:$G$33,"卡關")</f>
        <v/>
      </c>
      <c r="F5" s="81" t="inlineStr">
        <is>
          <t>延遲</t>
        </is>
      </c>
      <c r="G5" s="36">
        <f>COUNTIF($G$9:$G$33,"延遲")</f>
        <v/>
      </c>
      <c r="H5" s="81" t="inlineStr">
        <is>
          <t>已完成</t>
        </is>
      </c>
      <c r="I5" s="36">
        <f>COUNTIF($G$9:$G$33,"已完成")</f>
        <v/>
      </c>
      <c r="J5" s="1" t="n"/>
      <c r="K5" s="1" t="n"/>
    </row>
    <row r="6">
      <c r="A6" s="1" t="n"/>
      <c r="B6" s="14" t="inlineStr">
        <is>
          <t>升級至部門主管以上</t>
        </is>
      </c>
      <c r="C6" s="61">
        <f>COUNTIFS($H$9:$H$33,"部門主管",$G$9:$G$33,"&lt;&gt;已完成")+COUNTIFS($H$9:$H$33,"跨部門主管會議",$G$9:$G$33,"&lt;&gt;已完成")</f>
        <v/>
      </c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32" customHeight="1">
      <c r="A8" s="13" t="inlineStr">
        <is>
          <t>No.</t>
        </is>
      </c>
      <c r="B8" s="13" t="inlineStr">
        <is>
          <t>項目</t>
        </is>
      </c>
      <c r="C8" s="13" t="inlineStr">
        <is>
          <t>所屬階段</t>
        </is>
      </c>
      <c r="D8" s="13" t="inlineStr">
        <is>
          <t>卡關項目</t>
        </is>
      </c>
      <c r="E8" s="13" t="inlineStr">
        <is>
          <t>負責人（單位）</t>
        </is>
      </c>
      <c r="F8" s="13" t="inlineStr">
        <is>
          <t>預計交付日</t>
        </is>
      </c>
      <c r="G8" s="13" t="inlineStr">
        <is>
          <t>目前狀態</t>
        </is>
      </c>
      <c r="H8" s="13" t="inlineStr">
        <is>
          <t>升級層級</t>
        </is>
      </c>
      <c r="I8" s="13" t="inlineStr">
        <is>
          <t>下次追蹤日</t>
        </is>
      </c>
      <c r="J8" s="13" t="inlineStr">
        <is>
          <t>逾期天數</t>
        </is>
      </c>
      <c r="K8" s="13" t="inlineStr">
        <is>
          <t>備註</t>
        </is>
      </c>
    </row>
    <row r="9" ht="46" customHeight="1">
      <c r="A9" s="26" t="n">
        <v>1</v>
      </c>
      <c r="B9" s="15" t="inlineStr">
        <is>
          <t>Gate ②→③（v1）審查結果</t>
        </is>
      </c>
      <c r="C9" s="26" t="inlineStr">
        <is>
          <t>②</t>
        </is>
      </c>
      <c r="D9" s="15" t="inlineStr">
        <is>
          <t>規範 v1 PoC：漏判率 37.0%（目標 ≤ 5%）、重複性 77.5%（目標 ≥ 90%）、預警提早 0 批 → 未通過</t>
        </is>
      </c>
      <c r="E9" s="15" t="inlineStr">
        <is>
          <t>專案專員</t>
        </is>
      </c>
      <c r="F9" s="59" t="n">
        <v>46402</v>
      </c>
      <c r="G9" s="36" t="inlineStr">
        <is>
          <t>已完成</t>
        </is>
      </c>
      <c r="H9" s="26" t="inlineStr">
        <is>
          <t>跨部門主管會議</t>
        </is>
      </c>
      <c r="I9" s="59" t="n"/>
      <c r="J9" s="26">
        <f>IF(OR(F9="",G9="已完成"),"",MAX(0,$B$2-F9))</f>
        <v/>
      </c>
      <c r="K9" s="15" t="inlineStr">
        <is>
          <t>1/15 Gate 會議決議：不進入 ③；修訂規範 v2 並重跑 ②，③④ 順延 7 週（時程表 v0.2 已更新）</t>
        </is>
      </c>
    </row>
    <row r="10" ht="46" customHeight="1">
      <c r="A10" s="26" t="n">
        <v>2</v>
      </c>
      <c r="B10" s="15" t="inlineStr">
        <is>
          <t>② v2 一致性分析重跑</t>
        </is>
      </c>
      <c r="C10" s="26" t="inlineStr">
        <is>
          <t>②</t>
        </is>
      </c>
      <c r="D10" s="15" t="inlineStr">
        <is>
          <t>v1 第 2 次判定已補跑完成（改善後重複性 77.5%）；v2 分塊放大後每顆約 36 次呼叫，需重估預算</t>
        </is>
      </c>
      <c r="E10" s="15" t="inlineStr">
        <is>
          <t>專案專員</t>
        </is>
      </c>
      <c r="F10" s="59" t="n">
        <v>46423</v>
      </c>
      <c r="G10" s="36" t="inlineStr">
        <is>
          <t>已完成</t>
        </is>
      </c>
      <c r="H10" s="26" t="inlineStr">
        <is>
          <t>直屬主管</t>
        </is>
      </c>
      <c r="I10" s="59" t="n">
        <v>46414</v>
      </c>
      <c r="J10" s="26">
        <f>IF(OR(F10="",G10="已完成"),"",MAX(0,$B$2-F10))</f>
        <v/>
      </c>
      <c r="K10" s="15" t="inlineStr">
        <is>
          <t>作品中已執行（2026-10-07）：36 張放大圖合併為每顆 1 次呼叫，實際 US$9.55；漏判率 0%、重複性 92.5%、誤判率 7.6% → Gate（v2）未通過，轉 v2.1</t>
        </is>
      </c>
    </row>
    <row r="11" ht="46" customHeight="1">
      <c r="A11" s="26" t="n">
        <v>3</v>
      </c>
      <c r="B11" s="15" t="inlineStr">
        <is>
          <t>檢驗規範 v2 路由規則</t>
        </is>
      </c>
      <c r="C11" s="26" t="inlineStr">
        <is>
          <t>②</t>
        </is>
      </c>
      <c r="D11" s="15" t="inlineStr">
        <is>
          <t>「核心區線狀缺陷不分 SCR／CRK 一律至少 Warning」：製造擔心人工複判量回升，與 QA 意見不一</t>
        </is>
      </c>
      <c r="E11" s="15" t="inlineStr">
        <is>
          <t>QA/品保（規範 Owner）</t>
        </is>
      </c>
      <c r="F11" s="59" t="n">
        <v>46416</v>
      </c>
      <c r="G11" s="36" t="inlineStr">
        <is>
          <t>卡關</t>
        </is>
      </c>
      <c r="H11" s="26" t="inlineStr">
        <is>
          <t>部門主管</t>
        </is>
      </c>
      <c r="I11" s="59" t="n">
        <v>46415</v>
      </c>
      <c r="J11" s="26">
        <f>IF(OR(F11="",G11="已完成"),"",MAX(0,$B$2-F11))</f>
        <v/>
      </c>
      <c r="K11" s="15" t="inlineStr">
        <is>
          <t>以 v1 實測 CRK 偵出率 0% 為依據提部門主管裁決；同步確認人工複判率門檻 ≤ 30%</t>
        </is>
      </c>
    </row>
    <row r="12" ht="46" customHeight="1">
      <c r="A12" s="26" t="n">
        <v>4</v>
      </c>
      <c r="B12" s="15" t="inlineStr">
        <is>
          <t>CRK／CHP 標準樣本補足</t>
        </is>
      </c>
      <c r="C12" s="26" t="inlineStr">
        <is>
          <t>②</t>
        </is>
      </c>
      <c r="D12" s="15" t="inlineStr">
        <is>
          <t>每類 Fail 樣本僅 2–3 張，比率信賴區間過寬（漏判 10/27 之 95% CI 約 22–56%）</t>
        </is>
      </c>
      <c r="E12" s="15" t="inlineStr">
        <is>
          <t>QA/品保（品保工程師）</t>
        </is>
      </c>
      <c r="F12" s="59" t="n">
        <v>46423</v>
      </c>
      <c r="G12" s="36" t="inlineStr">
        <is>
          <t>進行中</t>
        </is>
      </c>
      <c r="H12" s="26" t="inlineStr">
        <is>
          <t>直屬主管</t>
        </is>
      </c>
      <c r="I12" s="59" t="n">
        <v>46419</v>
      </c>
      <c r="J12" s="26">
        <f>IF(OR(F12="",G12="已完成"),"",MAX(0,$B$2-F12))</f>
        <v/>
      </c>
      <c r="K12" s="15" t="inlineStr">
        <is>
          <t>已向客服調閱客退品；不足部分以半合成補足並標示（ADR-0002）</t>
        </is>
      </c>
    </row>
    <row r="13" ht="46" customHeight="1">
      <c r="A13" s="26" t="n">
        <v>5</v>
      </c>
      <c r="B13" s="15" t="inlineStr">
        <is>
          <t>作者本人兩輪判定</t>
        </is>
      </c>
      <c r="C13" s="26" t="inlineStr">
        <is>
          <t>②</t>
        </is>
      </c>
      <c r="D13" s="15" t="inlineStr">
        <is>
          <t>人 vs AI 對照尚未進行</t>
        </is>
      </c>
      <c r="E13" s="15" t="inlineStr">
        <is>
          <t>專案專員</t>
        </is>
      </c>
      <c r="F13" s="59" t="n">
        <v>46430</v>
      </c>
      <c r="G13" s="36" t="inlineStr">
        <is>
          <t>進行中</t>
        </is>
      </c>
      <c r="H13" s="26" t="inlineStr">
        <is>
          <t>負責人</t>
        </is>
      </c>
      <c r="I13" s="59" t="n">
        <v>46419</v>
      </c>
      <c r="J13" s="26">
        <f>IF(OR(F13="",G13="已完成"),"",MAX(0,$B$2-F13))</f>
        <v/>
      </c>
      <c r="K13" s="15" t="inlineStr">
        <is>
          <t>依規範判定兩輪，打亂順序、隔天進行</t>
        </is>
      </c>
    </row>
    <row r="14" ht="46" customHeight="1">
      <c r="A14" s="26" t="n">
        <v>6</v>
      </c>
      <c r="B14" s="15" t="inlineStr">
        <is>
          <t>判異規則檢討</t>
        </is>
      </c>
      <c r="C14" s="26" t="inlineStr">
        <is>
          <t>②</t>
        </is>
      </c>
      <c r="D14" s="15" t="inlineStr">
        <is>
          <t>v1 模擬實測預警提早 0 批（完美判定亦未提早）；基準期 L10 誤警報</t>
        </is>
      </c>
      <c r="E14" s="15" t="inlineStr">
        <is>
          <t>製程工程（製程工程師）</t>
        </is>
      </c>
      <c r="F14" s="59" t="n">
        <v>46437</v>
      </c>
      <c r="G14" s="36" t="inlineStr">
        <is>
          <t>進行中</t>
        </is>
      </c>
      <c r="H14" s="26" t="inlineStr">
        <is>
          <t>負責人</t>
        </is>
      </c>
      <c r="I14" s="59" t="n">
        <v>46419</v>
      </c>
      <c r="J14" s="26">
        <f>IF(OR(F14="",G14="已完成"),"",MAX(0,$B$2-F14))</f>
        <v/>
      </c>
      <c r="K14" s="15" t="inlineStr">
        <is>
          <t>併入 2.11，以 v2 實測誤差重新模擬</t>
        </is>
      </c>
    </row>
    <row r="15" ht="46" customHeight="1">
      <c r="A15" s="26" t="n">
        <v>7</v>
      </c>
      <c r="B15" s="15" t="inlineStr">
        <is>
          <t>試行線取像站安裝</t>
        </is>
      </c>
      <c r="C15" s="26" t="inlineStr">
        <is>
          <t>③</t>
        </is>
      </c>
      <c r="D15" s="15" t="inlineStr">
        <is>
          <t>光源治具未到料：供應商交期由 1/15 延至 2/26</t>
        </is>
      </c>
      <c r="E15" s="15" t="inlineStr">
        <is>
          <t>設備工程（治具負責人）／採購</t>
        </is>
      </c>
      <c r="F15" s="59" t="n">
        <v>46402</v>
      </c>
      <c r="G15" s="36" t="inlineStr">
        <is>
          <t>延遲</t>
        </is>
      </c>
      <c r="H15" s="26" t="inlineStr">
        <is>
          <t>直屬主管</t>
        </is>
      </c>
      <c r="I15" s="59" t="n">
        <v>46419</v>
      </c>
      <c r="J15" s="26">
        <f>IF(OR(F15="",G15="已完成"),"",MAX(0,$B$2-F15))</f>
        <v/>
      </c>
      <c r="K15" s="15" t="inlineStr">
        <is>
          <t>③ 已順延至 W19（3/15），治具延遲暫不在要徑上，但緩衝僅約 2 週；持續催料</t>
        </is>
      </c>
    </row>
    <row r="16" ht="46" customHeight="1">
      <c r="A16" s="26" t="n">
        <v>8</v>
      </c>
      <c r="B16" s="15" t="inlineStr">
        <is>
          <t>影像去識別化流程</t>
        </is>
      </c>
      <c r="C16" s="26" t="inlineStr">
        <is>
          <t>②</t>
        </is>
      </c>
      <c r="D16" s="15" t="inlineStr">
        <is>
          <t>—</t>
        </is>
      </c>
      <c r="E16" s="15" t="inlineStr">
        <is>
          <t>IT/MES（資安窗口）</t>
        </is>
      </c>
      <c r="F16" s="59" t="n">
        <v>46402</v>
      </c>
      <c r="G16" s="36" t="inlineStr">
        <is>
          <t>已完成</t>
        </is>
      </c>
      <c r="H16" s="26" t="inlineStr">
        <is>
          <t>負責人</t>
        </is>
      </c>
      <c r="I16" s="59" t="n"/>
      <c r="J16" s="26">
        <f>IF(OR(F16="",G16="已完成"),"",MAX(0,$B$2-F16))</f>
        <v/>
      </c>
      <c r="K16" s="15" t="inlineStr">
        <is>
          <t>裁切批號／條碼區域後再送 AI，資安核准單已歸檔</t>
        </is>
      </c>
    </row>
    <row r="17" ht="46" customHeight="1">
      <c r="A17" s="26" t="n">
        <v>9</v>
      </c>
      <c r="B17" s="15" t="inlineStr">
        <is>
          <t>異常處置單通知名單</t>
        </is>
      </c>
      <c r="C17" s="26" t="inlineStr">
        <is>
          <t>②</t>
        </is>
      </c>
      <c r="D17" s="15" t="inlineStr">
        <is>
          <t>夜班值班主管名單未提供</t>
        </is>
      </c>
      <c r="E17" s="15" t="inlineStr">
        <is>
          <t>製程工程／生產/製造</t>
        </is>
      </c>
      <c r="F17" s="59" t="n">
        <v>46409</v>
      </c>
      <c r="G17" s="36" t="inlineStr">
        <is>
          <t>延遲</t>
        </is>
      </c>
      <c r="H17" s="26" t="inlineStr">
        <is>
          <t>直屬主管</t>
        </is>
      </c>
      <c r="I17" s="59" t="n">
        <v>46414</v>
      </c>
      <c r="J17" s="26">
        <f>IF(OR(F17="",G17="已完成"),"",MAX(0,$B$2-F17))</f>
        <v/>
      </c>
      <c r="K17" s="15" t="inlineStr">
        <is>
          <t>已請製造部提供夜班輪值表；未取得前由專案專員代為通知</t>
        </is>
      </c>
    </row>
    <row r="18" ht="46" customHeight="1">
      <c r="A18" s="26" t="n">
        <v>10</v>
      </c>
      <c r="B18" s="15" t="inlineStr">
        <is>
          <t>MES 介接人力承諾</t>
        </is>
      </c>
      <c r="C18" s="26" t="inlineStr">
        <is>
          <t>④</t>
        </is>
      </c>
      <c r="D18" s="15" t="inlineStr">
        <is>
          <t>IT 人力被 ERP 升級專案佔用；4.1 順延至 W19 後仍需於 3/5 前承諾人力</t>
        </is>
      </c>
      <c r="E18" s="15" t="inlineStr">
        <is>
          <t>IT/MES（系統分析師）</t>
        </is>
      </c>
      <c r="F18" s="59" t="n">
        <v>46451</v>
      </c>
      <c r="G18" s="36" t="inlineStr">
        <is>
          <t>進行中</t>
        </is>
      </c>
      <c r="H18" s="26" t="inlineStr">
        <is>
          <t>負責人</t>
        </is>
      </c>
      <c r="I18" s="59" t="n">
        <v>46426</v>
      </c>
      <c r="J18" s="26">
        <f>IF(OR(F18="",G18="已完成"),"",MAX(0,$B$2-F18))</f>
        <v/>
      </c>
      <c r="K18" s="15" t="inlineStr">
        <is>
          <t>③④ 順延後壓力下降；持續追蹤</t>
        </is>
      </c>
    </row>
    <row r="19" ht="22" customHeight="1">
      <c r="A19" s="26" t="n">
        <v>11</v>
      </c>
      <c r="B19" s="15" t="n"/>
      <c r="C19" s="26" t="n"/>
      <c r="D19" s="15" t="n"/>
      <c r="E19" s="15" t="n"/>
      <c r="F19" s="59" t="n"/>
      <c r="G19" s="36" t="n"/>
      <c r="H19" s="26" t="n"/>
      <c r="I19" s="59" t="n"/>
      <c r="J19" s="26">
        <f>IF(OR(F19="",G19="已完成"),"",MAX(0,$B$2-F19))</f>
        <v/>
      </c>
      <c r="K19" s="15" t="n"/>
    </row>
    <row r="20" ht="22" customHeight="1">
      <c r="A20" s="26" t="n">
        <v>12</v>
      </c>
      <c r="B20" s="15" t="n"/>
      <c r="C20" s="26" t="n"/>
      <c r="D20" s="15" t="n"/>
      <c r="E20" s="15" t="n"/>
      <c r="F20" s="59" t="n"/>
      <c r="G20" s="36" t="n"/>
      <c r="H20" s="26" t="n"/>
      <c r="I20" s="59" t="n"/>
      <c r="J20" s="26">
        <f>IF(OR(F20="",G20="已完成"),"",MAX(0,$B$2-F20))</f>
        <v/>
      </c>
      <c r="K20" s="15" t="n"/>
    </row>
    <row r="21" ht="22" customHeight="1">
      <c r="A21" s="26" t="n">
        <v>13</v>
      </c>
      <c r="B21" s="15" t="n"/>
      <c r="C21" s="26" t="n"/>
      <c r="D21" s="15" t="n"/>
      <c r="E21" s="15" t="n"/>
      <c r="F21" s="59" t="n"/>
      <c r="G21" s="36" t="n"/>
      <c r="H21" s="26" t="n"/>
      <c r="I21" s="59" t="n"/>
      <c r="J21" s="26">
        <f>IF(OR(F21="",G21="已完成"),"",MAX(0,$B$2-F21))</f>
        <v/>
      </c>
      <c r="K21" s="15" t="n"/>
    </row>
    <row r="22" ht="22" customHeight="1">
      <c r="A22" s="26" t="n">
        <v>14</v>
      </c>
      <c r="B22" s="15" t="n"/>
      <c r="C22" s="26" t="n"/>
      <c r="D22" s="15" t="n"/>
      <c r="E22" s="15" t="n"/>
      <c r="F22" s="59" t="n"/>
      <c r="G22" s="36" t="n"/>
      <c r="H22" s="26" t="n"/>
      <c r="I22" s="59" t="n"/>
      <c r="J22" s="26">
        <f>IF(OR(F22="",G22="已完成"),"",MAX(0,$B$2-F22))</f>
        <v/>
      </c>
      <c r="K22" s="15" t="n"/>
    </row>
    <row r="23" ht="22" customHeight="1">
      <c r="A23" s="26" t="n">
        <v>15</v>
      </c>
      <c r="B23" s="15" t="n"/>
      <c r="C23" s="26" t="n"/>
      <c r="D23" s="15" t="n"/>
      <c r="E23" s="15" t="n"/>
      <c r="F23" s="59" t="n"/>
      <c r="G23" s="36" t="n"/>
      <c r="H23" s="26" t="n"/>
      <c r="I23" s="59" t="n"/>
      <c r="J23" s="26">
        <f>IF(OR(F23="",G23="已完成"),"",MAX(0,$B$2-F23))</f>
        <v/>
      </c>
      <c r="K23" s="15" t="n"/>
    </row>
    <row r="24" ht="22" customHeight="1">
      <c r="A24" s="26" t="n">
        <v>16</v>
      </c>
      <c r="B24" s="15" t="n"/>
      <c r="C24" s="26" t="n"/>
      <c r="D24" s="15" t="n"/>
      <c r="E24" s="15" t="n"/>
      <c r="F24" s="59" t="n"/>
      <c r="G24" s="36" t="n"/>
      <c r="H24" s="26" t="n"/>
      <c r="I24" s="59" t="n"/>
      <c r="J24" s="26">
        <f>IF(OR(F24="",G24="已完成"),"",MAX(0,$B$2-F24))</f>
        <v/>
      </c>
      <c r="K24" s="15" t="n"/>
    </row>
    <row r="25" ht="22" customHeight="1">
      <c r="A25" s="26" t="n">
        <v>17</v>
      </c>
      <c r="B25" s="15" t="n"/>
      <c r="C25" s="26" t="n"/>
      <c r="D25" s="15" t="n"/>
      <c r="E25" s="15" t="n"/>
      <c r="F25" s="59" t="n"/>
      <c r="G25" s="36" t="n"/>
      <c r="H25" s="26" t="n"/>
      <c r="I25" s="59" t="n"/>
      <c r="J25" s="26">
        <f>IF(OR(F25="",G25="已完成"),"",MAX(0,$B$2-F25))</f>
        <v/>
      </c>
      <c r="K25" s="15" t="n"/>
    </row>
    <row r="26" ht="22" customHeight="1">
      <c r="A26" s="26" t="n">
        <v>18</v>
      </c>
      <c r="B26" s="15" t="n"/>
      <c r="C26" s="26" t="n"/>
      <c r="D26" s="15" t="n"/>
      <c r="E26" s="15" t="n"/>
      <c r="F26" s="59" t="n"/>
      <c r="G26" s="36" t="n"/>
      <c r="H26" s="26" t="n"/>
      <c r="I26" s="59" t="n"/>
      <c r="J26" s="26">
        <f>IF(OR(F26="",G26="已完成"),"",MAX(0,$B$2-F26))</f>
        <v/>
      </c>
      <c r="K26" s="15" t="n"/>
    </row>
    <row r="27" ht="22" customHeight="1">
      <c r="A27" s="26" t="n">
        <v>19</v>
      </c>
      <c r="B27" s="15" t="n"/>
      <c r="C27" s="26" t="n"/>
      <c r="D27" s="15" t="n"/>
      <c r="E27" s="15" t="n"/>
      <c r="F27" s="59" t="n"/>
      <c r="G27" s="36" t="n"/>
      <c r="H27" s="26" t="n"/>
      <c r="I27" s="59" t="n"/>
      <c r="J27" s="26">
        <f>IF(OR(F27="",G27="已完成"),"",MAX(0,$B$2-F27))</f>
        <v/>
      </c>
      <c r="K27" s="15" t="n"/>
    </row>
    <row r="28" ht="22" customHeight="1">
      <c r="A28" s="26" t="n">
        <v>20</v>
      </c>
      <c r="B28" s="15" t="n"/>
      <c r="C28" s="26" t="n"/>
      <c r="D28" s="15" t="n"/>
      <c r="E28" s="15" t="n"/>
      <c r="F28" s="59" t="n"/>
      <c r="G28" s="36" t="n"/>
      <c r="H28" s="26" t="n"/>
      <c r="I28" s="59" t="n"/>
      <c r="J28" s="26">
        <f>IF(OR(F28="",G28="已完成"),"",MAX(0,$B$2-F28))</f>
        <v/>
      </c>
      <c r="K28" s="15" t="n"/>
    </row>
    <row r="29" ht="22" customHeight="1">
      <c r="A29" s="26" t="n">
        <v>21</v>
      </c>
      <c r="B29" s="15" t="n"/>
      <c r="C29" s="26" t="n"/>
      <c r="D29" s="15" t="n"/>
      <c r="E29" s="15" t="n"/>
      <c r="F29" s="59" t="n"/>
      <c r="G29" s="36" t="n"/>
      <c r="H29" s="26" t="n"/>
      <c r="I29" s="59" t="n"/>
      <c r="J29" s="26">
        <f>IF(OR(F29="",G29="已完成"),"",MAX(0,$B$2-F29))</f>
        <v/>
      </c>
      <c r="K29" s="15" t="n"/>
    </row>
    <row r="30" ht="22" customHeight="1">
      <c r="A30" s="26" t="n">
        <v>22</v>
      </c>
      <c r="B30" s="15" t="n"/>
      <c r="C30" s="26" t="n"/>
      <c r="D30" s="15" t="n"/>
      <c r="E30" s="15" t="n"/>
      <c r="F30" s="59" t="n"/>
      <c r="G30" s="36" t="n"/>
      <c r="H30" s="26" t="n"/>
      <c r="I30" s="59" t="n"/>
      <c r="J30" s="26">
        <f>IF(OR(F30="",G30="已完成"),"",MAX(0,$B$2-F30))</f>
        <v/>
      </c>
      <c r="K30" s="15" t="n"/>
    </row>
    <row r="31" ht="22" customHeight="1">
      <c r="A31" s="26" t="n">
        <v>23</v>
      </c>
      <c r="B31" s="15" t="n"/>
      <c r="C31" s="26" t="n"/>
      <c r="D31" s="15" t="n"/>
      <c r="E31" s="15" t="n"/>
      <c r="F31" s="59" t="n"/>
      <c r="G31" s="36" t="n"/>
      <c r="H31" s="26" t="n"/>
      <c r="I31" s="59" t="n"/>
      <c r="J31" s="26">
        <f>IF(OR(F31="",G31="已完成"),"",MAX(0,$B$2-F31))</f>
        <v/>
      </c>
      <c r="K31" s="15" t="n"/>
    </row>
    <row r="32" ht="22" customHeight="1">
      <c r="A32" s="26" t="n">
        <v>24</v>
      </c>
      <c r="B32" s="15" t="n"/>
      <c r="C32" s="26" t="n"/>
      <c r="D32" s="15" t="n"/>
      <c r="E32" s="15" t="n"/>
      <c r="F32" s="59" t="n"/>
      <c r="G32" s="36" t="n"/>
      <c r="H32" s="26" t="n"/>
      <c r="I32" s="59" t="n"/>
      <c r="J32" s="26">
        <f>IF(OR(F32="",G32="已完成"),"",MAX(0,$B$2-F32))</f>
        <v/>
      </c>
      <c r="K32" s="15" t="n"/>
    </row>
    <row r="33" ht="22" customHeight="1">
      <c r="A33" s="26" t="n">
        <v>25</v>
      </c>
      <c r="B33" s="15" t="n"/>
      <c r="C33" s="26" t="n"/>
      <c r="D33" s="15" t="n"/>
      <c r="E33" s="15" t="n"/>
      <c r="F33" s="59" t="n"/>
      <c r="G33" s="36" t="n"/>
      <c r="H33" s="26" t="n"/>
      <c r="I33" s="59" t="n"/>
      <c r="J33" s="26">
        <f>IF(OR(F33="",G33="已完成"),"",MAX(0,$B$2-F33))</f>
        <v/>
      </c>
      <c r="K33" s="15" t="n"/>
    </row>
  </sheetData>
  <autoFilter ref="A8:K33"/>
  <conditionalFormatting sqref="A9:K33">
    <cfRule type="expression" priority="1" dxfId="14" stopIfTrue="1">
      <formula>$G9="延遲"</formula>
    </cfRule>
    <cfRule type="expression" priority="2" dxfId="15" stopIfTrue="1">
      <formula>$G9="卡關"</formula>
    </cfRule>
    <cfRule type="expression" priority="3" dxfId="16" stopIfTrue="1">
      <formula>$G9="已完成"</formula>
    </cfRule>
  </conditionalFormatting>
  <conditionalFormatting sqref="H9:H33">
    <cfRule type="expression" priority="4" dxfId="17">
      <formula>AND(OR($H9="部門主管",$H9="跨部門主管會議"),$G9&lt;&gt;"已完成")</formula>
    </cfRule>
  </conditionalFormatting>
  <conditionalFormatting sqref="F9:F33">
    <cfRule type="expression" priority="5" dxfId="18">
      <formula>AND($F9&lt;&gt;"",$F9&lt;$B$2,$G9&lt;&gt;"已完成")</formula>
    </cfRule>
  </conditionalFormatting>
  <conditionalFormatting sqref="J9:J33">
    <cfRule type="cellIs" priority="6" operator="greaterThan" dxfId="17">
      <formula>0</formula>
    </cfRule>
  </conditionalFormatting>
  <dataValidations count="3">
    <dataValidation sqref="G9:G33" showDropDown="0" showInputMessage="0" showErrorMessage="1" allowBlank="1" errorTitle="目前狀態" error="請由下拉選單選擇" type="list">
      <formula1>"進行中,卡關,已完成,延遲"</formula1>
    </dataValidation>
    <dataValidation sqref="H9:H33" showDropDown="0" showInputMessage="0" showErrorMessage="1" allowBlank="1" errorTitle="升級層級" error="請由下拉選單選擇" type="list">
      <formula1>"負責人,直屬主管,部門主管,跨部門主管會議"</formula1>
    </dataValidation>
    <dataValidation sqref="C9:C33" showDropDown="0" showInputMessage="0" showErrorMessage="0" allowBlank="1" type="list">
      <formula1>"①,②,③,④,全程"</formula1>
    </dataValidation>
  </dataValidations>
  <printOptions horizontalCentered="1"/>
  <pageMargins left="0.4" right="0.4" top="0.5" bottom="0.5" header="0.5" footer="0.5"/>
  <pageSetup orientation="landscape" paperSize="9" fitToHeight="1" fitToWidth="1"/>
  <headerFooter>
    <oddHeader/>
    <oddFooter>&amp;C&amp;A　第 &amp;P / &amp;N 頁&amp;R模擬情境・非實際導入紀錄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專案專員</dc:creator>
  <dc:title>晶粒外觀檢查改善專案 導入計畫（模擬情境）</dc:title>
  <dcterms:created xsi:type="dcterms:W3CDTF">2026-10-13T05:23:00Z</dcterms:created>
  <dcterms:modified xsi:type="dcterms:W3CDTF">2026-10-13T05:23:00Z</dcterms:modified>
</cp:coreProperties>
</file>