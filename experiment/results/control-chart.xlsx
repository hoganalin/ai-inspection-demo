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管制圖" sheetId="1" state="visible" r:id="rId1"/>
    <sheet name="柏拉圖" sheetId="2" state="visible" r:id="rId2"/>
    <sheet name="模擬參數" sheetId="3" state="visible" r:id="rId3"/>
    <sheet name="敏感度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392B"/>
    </font>
    <font>
      <b val="1"/>
      <color rgb="00B9651F"/>
    </font>
    <font>
      <i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 管制圖（模擬）</a:t>
            </a:r>
          </a:p>
        </rich>
      </tx>
    </title>
    <plotArea>
      <lineChart>
        <grouping val="standard"/>
        <ser>
          <idx val="0"/>
          <order val="0"/>
          <tx>
            <strRef>
              <f>'p管制圖'!F1</f>
            </strRef>
          </tx>
          <spPr>
            <a:ln w="20000">
              <a:solidFill>
                <a:srgbClr val="2F4F6F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'p管制圖'!$A$2:$A$26</f>
            </numRef>
          </cat>
          <val>
            <numRef>
              <f>'p管制圖'!$F$2:$F$26</f>
            </numRef>
          </val>
          <smooth val="0"/>
        </ser>
        <ser>
          <idx val="1"/>
          <order val="1"/>
          <tx>
            <strRef>
              <f>'p管制圖'!G1</f>
            </strRef>
          </tx>
          <spPr>
            <a:ln w="20000">
              <a:solidFill>
                <a:srgbClr val="55555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'p管制圖'!$A$2:$A$26</f>
            </numRef>
          </cat>
          <val>
            <numRef>
              <f>'p管制圖'!$G$2:$G$26</f>
            </numRef>
          </val>
          <smooth val="0"/>
        </ser>
        <ser>
          <idx val="2"/>
          <order val="2"/>
          <tx>
            <strRef>
              <f>'p管制圖'!H1</f>
            </strRef>
          </tx>
          <spPr>
            <a:ln w="2000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'p管制圖'!$A$2:$A$26</f>
            </numRef>
          </cat>
          <val>
            <numRef>
              <f>'p管制圖'!$H$2:$H$26</f>
            </numRef>
          </val>
          <smooth val="0"/>
        </ser>
        <ser>
          <idx val="3"/>
          <order val="3"/>
          <tx>
            <strRef>
              <f>'p管制圖'!J1</f>
            </strRef>
          </tx>
          <spPr>
            <a:ln w="20000">
              <a:solidFill>
                <a:srgbClr val="E08E45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'p管制圖'!$A$2:$A$26</f>
            </numRef>
          </cat>
          <val>
            <numRef>
              <f>'p管制圖'!$J$2:$J$26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批不良率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缺陷分類次數：漂移前 vs 漂移後（模擬）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'柏拉圖'!B1</f>
            </strRef>
          </tx>
          <spPr>
            <a:ln>
              <a:prstDash val="solid"/>
            </a:ln>
          </spPr>
          <cat>
            <numRef>
              <f>'柏拉圖'!$A$2:$A$5</f>
            </numRef>
          </cat>
          <val>
            <numRef>
              <f>'柏拉圖'!$B$2:$B$5</f>
            </numRef>
          </val>
        </ser>
        <ser>
          <idx val="1"/>
          <order val="1"/>
          <tx>
            <strRef>
              <f>'柏拉圖'!C1</f>
            </strRef>
          </tx>
          <spPr>
            <a:ln>
              <a:prstDash val="solid"/>
            </a:ln>
          </spPr>
          <cat>
            <numRef>
              <f>'柏拉圖'!$A$2:$A$5</f>
            </numRef>
          </cat>
          <val>
            <numRef>
              <f>'柏拉圖'!$C$2:$C$5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9" customWidth="1" min="4" max="4"/>
    <col width="6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34" customWidth="1" min="11" max="11"/>
    <col width="12" customWidth="1" min="12" max="12"/>
    <col width="14" customWidth="1" min="13" max="13"/>
  </cols>
  <sheetData>
    <row r="1">
      <c r="A1" s="1" t="inlineStr">
        <is>
          <t>批</t>
        </is>
      </c>
      <c r="B1" s="1" t="inlineStr">
        <is>
          <t>n</t>
        </is>
      </c>
      <c r="C1" s="1" t="inlineStr">
        <is>
          <t>Pass</t>
        </is>
      </c>
      <c r="D1" s="1" t="inlineStr">
        <is>
          <t>Warning</t>
        </is>
      </c>
      <c r="E1" s="1" t="inlineStr">
        <is>
          <t>Fail</t>
        </is>
      </c>
      <c r="F1" s="1" t="inlineStr">
        <is>
          <t>批不良率 p</t>
        </is>
      </c>
      <c r="G1" s="1" t="inlineStr">
        <is>
          <t>CL</t>
        </is>
      </c>
      <c r="H1" s="1" t="inlineStr">
        <is>
          <t>UCL</t>
        </is>
      </c>
      <c r="I1" s="1" t="inlineStr">
        <is>
          <t>LCL</t>
        </is>
      </c>
      <c r="J1" s="1" t="inlineStr">
        <is>
          <t>+2σ</t>
        </is>
      </c>
      <c r="K1" s="1" t="inlineStr">
        <is>
          <t>判異訊號</t>
        </is>
      </c>
      <c r="L1" s="1" t="inlineStr">
        <is>
          <t>（真實）Fail</t>
        </is>
      </c>
      <c r="M1" s="1" t="inlineStr">
        <is>
          <t>（真實）Warning</t>
        </is>
      </c>
    </row>
    <row r="2">
      <c r="A2" t="inlineStr">
        <is>
          <t>L01</t>
        </is>
      </c>
      <c r="B2" t="n">
        <v>50</v>
      </c>
      <c r="C2" t="n">
        <v>45</v>
      </c>
      <c r="D2" t="n">
        <v>1</v>
      </c>
      <c r="E2" t="n">
        <v>4</v>
      </c>
      <c r="F2" s="2">
        <f>E2/B2</f>
        <v/>
      </c>
      <c r="G2" s="2" t="n">
        <v>0.04571</v>
      </c>
      <c r="H2" s="2" t="n">
        <v>0.13433</v>
      </c>
      <c r="I2" s="2" t="n">
        <v>0</v>
      </c>
      <c r="J2" s="2" t="n">
        <v>0.10479</v>
      </c>
      <c r="K2" t="inlineStr"/>
      <c r="L2" t="n">
        <v>4</v>
      </c>
      <c r="M2" t="n">
        <v>1</v>
      </c>
    </row>
    <row r="3">
      <c r="A3" t="inlineStr">
        <is>
          <t>L02</t>
        </is>
      </c>
      <c r="B3" t="n">
        <v>50</v>
      </c>
      <c r="C3" t="n">
        <v>44</v>
      </c>
      <c r="D3" t="n">
        <v>5</v>
      </c>
      <c r="E3" t="n">
        <v>1</v>
      </c>
      <c r="F3" s="2">
        <f>E3/B3</f>
        <v/>
      </c>
      <c r="G3" s="2" t="n">
        <v>0.04571</v>
      </c>
      <c r="H3" s="2" t="n">
        <v>0.13433</v>
      </c>
      <c r="I3" s="2" t="n">
        <v>0</v>
      </c>
      <c r="J3" s="2" t="n">
        <v>0.10479</v>
      </c>
      <c r="K3" t="inlineStr"/>
      <c r="L3" t="n">
        <v>1</v>
      </c>
      <c r="M3" t="n">
        <v>5</v>
      </c>
    </row>
    <row r="4">
      <c r="A4" t="inlineStr">
        <is>
          <t>L03</t>
        </is>
      </c>
      <c r="B4" t="n">
        <v>50</v>
      </c>
      <c r="C4" t="n">
        <v>46</v>
      </c>
      <c r="D4" t="n">
        <v>0</v>
      </c>
      <c r="E4" t="n">
        <v>4</v>
      </c>
      <c r="F4" s="2">
        <f>E4/B4</f>
        <v/>
      </c>
      <c r="G4" s="2" t="n">
        <v>0.04571</v>
      </c>
      <c r="H4" s="2" t="n">
        <v>0.13433</v>
      </c>
      <c r="I4" s="2" t="n">
        <v>0</v>
      </c>
      <c r="J4" s="2" t="n">
        <v>0.10479</v>
      </c>
      <c r="K4" t="inlineStr"/>
      <c r="L4" t="n">
        <v>4</v>
      </c>
      <c r="M4" t="n">
        <v>0</v>
      </c>
    </row>
    <row r="5">
      <c r="A5" t="inlineStr">
        <is>
          <t>L04</t>
        </is>
      </c>
      <c r="B5" t="n">
        <v>50</v>
      </c>
      <c r="C5" t="n">
        <v>45</v>
      </c>
      <c r="D5" t="n">
        <v>3</v>
      </c>
      <c r="E5" t="n">
        <v>2</v>
      </c>
      <c r="F5" s="2">
        <f>E5/B5</f>
        <v/>
      </c>
      <c r="G5" s="2" t="n">
        <v>0.04571</v>
      </c>
      <c r="H5" s="2" t="n">
        <v>0.13433</v>
      </c>
      <c r="I5" s="2" t="n">
        <v>0</v>
      </c>
      <c r="J5" s="2" t="n">
        <v>0.10479</v>
      </c>
      <c r="K5" t="inlineStr"/>
      <c r="L5" t="n">
        <v>2</v>
      </c>
      <c r="M5" t="n">
        <v>3</v>
      </c>
    </row>
    <row r="6">
      <c r="A6" t="inlineStr">
        <is>
          <t>L05</t>
        </is>
      </c>
      <c r="B6" t="n">
        <v>50</v>
      </c>
      <c r="C6" t="n">
        <v>44</v>
      </c>
      <c r="D6" t="n">
        <v>5</v>
      </c>
      <c r="E6" t="n">
        <v>1</v>
      </c>
      <c r="F6" s="2">
        <f>E6/B6</f>
        <v/>
      </c>
      <c r="G6" s="2" t="n">
        <v>0.04571</v>
      </c>
      <c r="H6" s="2" t="n">
        <v>0.13433</v>
      </c>
      <c r="I6" s="2" t="n">
        <v>0</v>
      </c>
      <c r="J6" s="2" t="n">
        <v>0.10479</v>
      </c>
      <c r="K6" t="inlineStr"/>
      <c r="L6" t="n">
        <v>1</v>
      </c>
      <c r="M6" t="n">
        <v>5</v>
      </c>
    </row>
    <row r="7">
      <c r="A7" t="inlineStr">
        <is>
          <t>L06</t>
        </is>
      </c>
      <c r="B7" t="n">
        <v>50</v>
      </c>
      <c r="C7" t="n">
        <v>46</v>
      </c>
      <c r="D7" t="n">
        <v>2</v>
      </c>
      <c r="E7" t="n">
        <v>2</v>
      </c>
      <c r="F7" s="2">
        <f>E7/B7</f>
        <v/>
      </c>
      <c r="G7" s="2" t="n">
        <v>0.04571</v>
      </c>
      <c r="H7" s="2" t="n">
        <v>0.13433</v>
      </c>
      <c r="I7" s="2" t="n">
        <v>0</v>
      </c>
      <c r="J7" s="2" t="n">
        <v>0.10479</v>
      </c>
      <c r="K7" t="inlineStr"/>
      <c r="L7" t="n">
        <v>2</v>
      </c>
      <c r="M7" t="n">
        <v>2</v>
      </c>
    </row>
    <row r="8">
      <c r="A8" t="inlineStr">
        <is>
          <t>L07</t>
        </is>
      </c>
      <c r="B8" t="n">
        <v>50</v>
      </c>
      <c r="C8" t="n">
        <v>48</v>
      </c>
      <c r="D8" t="n">
        <v>2</v>
      </c>
      <c r="E8" t="n">
        <v>0</v>
      </c>
      <c r="F8" s="2">
        <f>E8/B8</f>
        <v/>
      </c>
      <c r="G8" s="2" t="n">
        <v>0.04571</v>
      </c>
      <c r="H8" s="2" t="n">
        <v>0.13433</v>
      </c>
      <c r="I8" s="2" t="n">
        <v>0</v>
      </c>
      <c r="J8" s="2" t="n">
        <v>0.10479</v>
      </c>
      <c r="K8" t="inlineStr"/>
      <c r="L8" t="n">
        <v>0</v>
      </c>
      <c r="M8" t="n">
        <v>2</v>
      </c>
    </row>
    <row r="9">
      <c r="A9" t="inlineStr">
        <is>
          <t>L08</t>
        </is>
      </c>
      <c r="B9" t="n">
        <v>50</v>
      </c>
      <c r="C9" t="n">
        <v>47</v>
      </c>
      <c r="D9" t="n">
        <v>2</v>
      </c>
      <c r="E9" t="n">
        <v>1</v>
      </c>
      <c r="F9" s="2">
        <f>E9/B9</f>
        <v/>
      </c>
      <c r="G9" s="2" t="n">
        <v>0.04571</v>
      </c>
      <c r="H9" s="2" t="n">
        <v>0.13433</v>
      </c>
      <c r="I9" s="2" t="n">
        <v>0</v>
      </c>
      <c r="J9" s="2" t="n">
        <v>0.10479</v>
      </c>
      <c r="K9" t="inlineStr"/>
      <c r="L9" t="n">
        <v>1</v>
      </c>
      <c r="M9" t="n">
        <v>2</v>
      </c>
    </row>
    <row r="10">
      <c r="A10" t="inlineStr">
        <is>
          <t>L09</t>
        </is>
      </c>
      <c r="B10" t="n">
        <v>50</v>
      </c>
      <c r="C10" t="n">
        <v>49</v>
      </c>
      <c r="D10" t="n">
        <v>0</v>
      </c>
      <c r="E10" t="n">
        <v>1</v>
      </c>
      <c r="F10" s="2">
        <f>E10/B10</f>
        <v/>
      </c>
      <c r="G10" s="2" t="n">
        <v>0.04571</v>
      </c>
      <c r="H10" s="2" t="n">
        <v>0.13433</v>
      </c>
      <c r="I10" s="2" t="n">
        <v>0</v>
      </c>
      <c r="J10" s="2" t="n">
        <v>0.10479</v>
      </c>
      <c r="K10" t="inlineStr"/>
      <c r="L10" t="n">
        <v>1</v>
      </c>
      <c r="M10" t="n">
        <v>0</v>
      </c>
    </row>
    <row r="11">
      <c r="A11" t="inlineStr">
        <is>
          <t>L10</t>
        </is>
      </c>
      <c r="B11" t="n">
        <v>50</v>
      </c>
      <c r="C11" t="n">
        <v>39</v>
      </c>
      <c r="D11" t="n">
        <v>2</v>
      </c>
      <c r="E11" t="n">
        <v>9</v>
      </c>
      <c r="F11" s="2">
        <f>E11/B11</f>
        <v/>
      </c>
      <c r="G11" s="2" t="n">
        <v>0.04571</v>
      </c>
      <c r="H11" s="2" t="n">
        <v>0.13433</v>
      </c>
      <c r="I11" s="2" t="n">
        <v>0</v>
      </c>
      <c r="J11" s="2" t="n">
        <v>0.10479</v>
      </c>
      <c r="K11" s="3" t="inlineStr">
        <is>
          <t>異常：超出管制界限</t>
        </is>
      </c>
      <c r="L11" t="n">
        <v>9</v>
      </c>
      <c r="M11" t="n">
        <v>2</v>
      </c>
    </row>
    <row r="12">
      <c r="A12" t="inlineStr">
        <is>
          <t>L11</t>
        </is>
      </c>
      <c r="B12" t="n">
        <v>50</v>
      </c>
      <c r="C12" t="n">
        <v>41</v>
      </c>
      <c r="D12" t="n">
        <v>6</v>
      </c>
      <c r="E12" t="n">
        <v>3</v>
      </c>
      <c r="F12" s="2">
        <f>E12/B12</f>
        <v/>
      </c>
      <c r="G12" s="2" t="n">
        <v>0.04571</v>
      </c>
      <c r="H12" s="2" t="n">
        <v>0.13433</v>
      </c>
      <c r="I12" s="2" t="n">
        <v>0</v>
      </c>
      <c r="J12" s="2" t="n">
        <v>0.10479</v>
      </c>
      <c r="K12" t="inlineStr"/>
      <c r="L12" t="n">
        <v>3</v>
      </c>
      <c r="M12" t="n">
        <v>6</v>
      </c>
    </row>
    <row r="13">
      <c r="A13" t="inlineStr">
        <is>
          <t>L12</t>
        </is>
      </c>
      <c r="B13" t="n">
        <v>50</v>
      </c>
      <c r="C13" t="n">
        <v>47</v>
      </c>
      <c r="D13" t="n">
        <v>2</v>
      </c>
      <c r="E13" t="n">
        <v>1</v>
      </c>
      <c r="F13" s="2">
        <f>E13/B13</f>
        <v/>
      </c>
      <c r="G13" s="2" t="n">
        <v>0.04571</v>
      </c>
      <c r="H13" s="2" t="n">
        <v>0.13433</v>
      </c>
      <c r="I13" s="2" t="n">
        <v>0</v>
      </c>
      <c r="J13" s="2" t="n">
        <v>0.10479</v>
      </c>
      <c r="K13" t="inlineStr"/>
      <c r="L13" t="n">
        <v>1</v>
      </c>
      <c r="M13" t="n">
        <v>2</v>
      </c>
    </row>
    <row r="14">
      <c r="A14" t="inlineStr">
        <is>
          <t>L13</t>
        </is>
      </c>
      <c r="B14" t="n">
        <v>50</v>
      </c>
      <c r="C14" t="n">
        <v>44</v>
      </c>
      <c r="D14" t="n">
        <v>5</v>
      </c>
      <c r="E14" t="n">
        <v>1</v>
      </c>
      <c r="F14" s="2">
        <f>E14/B14</f>
        <v/>
      </c>
      <c r="G14" s="2" t="n">
        <v>0.04571</v>
      </c>
      <c r="H14" s="2" t="n">
        <v>0.13433</v>
      </c>
      <c r="I14" s="2" t="n">
        <v>0</v>
      </c>
      <c r="J14" s="2" t="n">
        <v>0.10479</v>
      </c>
      <c r="K14" t="inlineStr"/>
      <c r="L14" t="n">
        <v>1</v>
      </c>
      <c r="M14" t="n">
        <v>5</v>
      </c>
    </row>
    <row r="15">
      <c r="A15" t="inlineStr">
        <is>
          <t>L14</t>
        </is>
      </c>
      <c r="B15" t="n">
        <v>50</v>
      </c>
      <c r="C15" t="n">
        <v>48</v>
      </c>
      <c r="D15" t="n">
        <v>0</v>
      </c>
      <c r="E15" t="n">
        <v>2</v>
      </c>
      <c r="F15" s="2">
        <f>E15/B15</f>
        <v/>
      </c>
      <c r="G15" s="2" t="n">
        <v>0.04571</v>
      </c>
      <c r="H15" s="2" t="n">
        <v>0.13433</v>
      </c>
      <c r="I15" s="2" t="n">
        <v>0</v>
      </c>
      <c r="J15" s="2" t="n">
        <v>0.10479</v>
      </c>
      <c r="K15" t="inlineStr"/>
      <c r="L15" t="n">
        <v>2</v>
      </c>
      <c r="M15" t="n">
        <v>0</v>
      </c>
    </row>
    <row r="16">
      <c r="A16" t="inlineStr">
        <is>
          <t>L15</t>
        </is>
      </c>
      <c r="B16" t="n">
        <v>50</v>
      </c>
      <c r="C16" t="n">
        <v>43</v>
      </c>
      <c r="D16" t="n">
        <v>3</v>
      </c>
      <c r="E16" t="n">
        <v>4</v>
      </c>
      <c r="F16" s="2">
        <f>E16/B16</f>
        <v/>
      </c>
      <c r="G16" s="2" t="n">
        <v>0.04571</v>
      </c>
      <c r="H16" s="2" t="n">
        <v>0.13433</v>
      </c>
      <c r="I16" s="2" t="n">
        <v>0</v>
      </c>
      <c r="J16" s="2" t="n">
        <v>0.10479</v>
      </c>
      <c r="K16" t="inlineStr"/>
      <c r="L16" t="n">
        <v>4</v>
      </c>
      <c r="M16" t="n">
        <v>3</v>
      </c>
    </row>
    <row r="17">
      <c r="A17" t="inlineStr">
        <is>
          <t>L16</t>
        </is>
      </c>
      <c r="B17" t="n">
        <v>50</v>
      </c>
      <c r="C17" t="n">
        <v>44</v>
      </c>
      <c r="D17" t="n">
        <v>4</v>
      </c>
      <c r="E17" t="n">
        <v>2</v>
      </c>
      <c r="F17" s="2">
        <f>E17/B17</f>
        <v/>
      </c>
      <c r="G17" s="2" t="n">
        <v>0.04571</v>
      </c>
      <c r="H17" s="2" t="n">
        <v>0.13433</v>
      </c>
      <c r="I17" s="2" t="n">
        <v>0</v>
      </c>
      <c r="J17" s="2" t="n">
        <v>0.10479</v>
      </c>
      <c r="K17" t="inlineStr"/>
      <c r="L17" t="n">
        <v>2</v>
      </c>
      <c r="M17" t="n">
        <v>4</v>
      </c>
    </row>
    <row r="18">
      <c r="A18" t="inlineStr">
        <is>
          <t>L17</t>
        </is>
      </c>
      <c r="B18" t="n">
        <v>50</v>
      </c>
      <c r="C18" t="n">
        <v>42</v>
      </c>
      <c r="D18" t="n">
        <v>3</v>
      </c>
      <c r="E18" t="n">
        <v>5</v>
      </c>
      <c r="F18" s="2">
        <f>E18/B18</f>
        <v/>
      </c>
      <c r="G18" s="2" t="n">
        <v>0.04571</v>
      </c>
      <c r="H18" s="2" t="n">
        <v>0.13433</v>
      </c>
      <c r="I18" s="2" t="n">
        <v>0</v>
      </c>
      <c r="J18" s="2" t="n">
        <v>0.10479</v>
      </c>
      <c r="K18" t="inlineStr"/>
      <c r="L18" t="n">
        <v>5</v>
      </c>
      <c r="M18" t="n">
        <v>4</v>
      </c>
    </row>
    <row r="19">
      <c r="A19" t="inlineStr">
        <is>
          <t>L18</t>
        </is>
      </c>
      <c r="B19" t="n">
        <v>50</v>
      </c>
      <c r="C19" t="n">
        <v>41</v>
      </c>
      <c r="D19" t="n">
        <v>6</v>
      </c>
      <c r="E19" t="n">
        <v>3</v>
      </c>
      <c r="F19" s="2">
        <f>E19/B19</f>
        <v/>
      </c>
      <c r="G19" s="2" t="n">
        <v>0.04571</v>
      </c>
      <c r="H19" s="2" t="n">
        <v>0.13433</v>
      </c>
      <c r="I19" s="2" t="n">
        <v>0</v>
      </c>
      <c r="J19" s="2" t="n">
        <v>0.10479</v>
      </c>
      <c r="K19" t="inlineStr"/>
      <c r="L19" t="n">
        <v>3</v>
      </c>
      <c r="M19" t="n">
        <v>6</v>
      </c>
    </row>
    <row r="20">
      <c r="A20" t="inlineStr">
        <is>
          <t>L19</t>
        </is>
      </c>
      <c r="B20" t="n">
        <v>50</v>
      </c>
      <c r="C20" t="n">
        <v>39</v>
      </c>
      <c r="D20" t="n">
        <v>4</v>
      </c>
      <c r="E20" t="n">
        <v>7</v>
      </c>
      <c r="F20" s="2">
        <f>E20/B20</f>
        <v/>
      </c>
      <c r="G20" s="2" t="n">
        <v>0.04571</v>
      </c>
      <c r="H20" s="2" t="n">
        <v>0.13433</v>
      </c>
      <c r="I20" s="2" t="n">
        <v>0</v>
      </c>
      <c r="J20" s="2" t="n">
        <v>0.10479</v>
      </c>
      <c r="K20" s="3" t="inlineStr">
        <is>
          <t>異常：超出管制界限</t>
        </is>
      </c>
      <c r="L20" t="n">
        <v>7</v>
      </c>
      <c r="M20" t="n">
        <v>5</v>
      </c>
    </row>
    <row r="21">
      <c r="A21" t="inlineStr">
        <is>
          <t>L20</t>
        </is>
      </c>
      <c r="B21" t="n">
        <v>50</v>
      </c>
      <c r="C21" t="n">
        <v>40</v>
      </c>
      <c r="D21" t="n">
        <v>4</v>
      </c>
      <c r="E21" t="n">
        <v>6</v>
      </c>
      <c r="F21" s="2">
        <f>E21/B21</f>
        <v/>
      </c>
      <c r="G21" s="2" t="n">
        <v>0.04571</v>
      </c>
      <c r="H21" s="2" t="n">
        <v>0.13433</v>
      </c>
      <c r="I21" s="2" t="n">
        <v>0</v>
      </c>
      <c r="J21" s="2" t="n">
        <v>0.10479</v>
      </c>
      <c r="K21" s="4" t="inlineStr">
        <is>
          <t>預警：3 點中 2 點超過 +2σ</t>
        </is>
      </c>
      <c r="L21" t="n">
        <v>6</v>
      </c>
      <c r="M21" t="n">
        <v>4</v>
      </c>
    </row>
    <row r="22">
      <c r="A22" t="inlineStr">
        <is>
          <t>L21</t>
        </is>
      </c>
      <c r="B22" t="n">
        <v>50</v>
      </c>
      <c r="C22" t="n">
        <v>34</v>
      </c>
      <c r="D22" t="n">
        <v>7</v>
      </c>
      <c r="E22" t="n">
        <v>9</v>
      </c>
      <c r="F22" s="2">
        <f>E22/B22</f>
        <v/>
      </c>
      <c r="G22" s="2" t="n">
        <v>0.04571</v>
      </c>
      <c r="H22" s="2" t="n">
        <v>0.13433</v>
      </c>
      <c r="I22" s="2" t="n">
        <v>0</v>
      </c>
      <c r="J22" s="2" t="n">
        <v>0.10479</v>
      </c>
      <c r="K22" s="3" t="inlineStr">
        <is>
          <t>異常：超出管制界限；預警：3 點中 2 點超過 +2σ</t>
        </is>
      </c>
      <c r="L22" t="n">
        <v>9</v>
      </c>
      <c r="M22" t="n">
        <v>9</v>
      </c>
    </row>
    <row r="23">
      <c r="A23" t="inlineStr">
        <is>
          <t>L22</t>
        </is>
      </c>
      <c r="B23" t="n">
        <v>50</v>
      </c>
      <c r="C23" t="n">
        <v>37</v>
      </c>
      <c r="D23" t="n">
        <v>5</v>
      </c>
      <c r="E23" t="n">
        <v>8</v>
      </c>
      <c r="F23" s="2">
        <f>E23/B23</f>
        <v/>
      </c>
      <c r="G23" s="2" t="n">
        <v>0.04571</v>
      </c>
      <c r="H23" s="2" t="n">
        <v>0.13433</v>
      </c>
      <c r="I23" s="2" t="n">
        <v>0</v>
      </c>
      <c r="J23" s="2" t="n">
        <v>0.10479</v>
      </c>
      <c r="K23" s="3" t="inlineStr">
        <is>
          <t>異常：超出管制界限；預警：3 點中 2 點超過 +2σ</t>
        </is>
      </c>
      <c r="L23" t="n">
        <v>8</v>
      </c>
      <c r="M23" t="n">
        <v>5</v>
      </c>
    </row>
    <row r="24">
      <c r="A24" t="inlineStr">
        <is>
          <t>L23</t>
        </is>
      </c>
      <c r="B24" t="n">
        <v>50</v>
      </c>
      <c r="C24" t="n">
        <v>30</v>
      </c>
      <c r="D24" t="n">
        <v>6</v>
      </c>
      <c r="E24" t="n">
        <v>14</v>
      </c>
      <c r="F24" s="2">
        <f>E24/B24</f>
        <v/>
      </c>
      <c r="G24" s="2" t="n">
        <v>0.04571</v>
      </c>
      <c r="H24" s="2" t="n">
        <v>0.13433</v>
      </c>
      <c r="I24" s="2" t="n">
        <v>0</v>
      </c>
      <c r="J24" s="2" t="n">
        <v>0.10479</v>
      </c>
      <c r="K24" s="3" t="inlineStr">
        <is>
          <t>異常：超出管制界限；預警：3 點中 2 點超過 +2σ</t>
        </is>
      </c>
      <c r="L24" t="n">
        <v>14</v>
      </c>
      <c r="M24" t="n">
        <v>6</v>
      </c>
    </row>
    <row r="25">
      <c r="A25" t="inlineStr">
        <is>
          <t>L24</t>
        </is>
      </c>
      <c r="B25" t="n">
        <v>50</v>
      </c>
      <c r="C25" t="n">
        <v>30</v>
      </c>
      <c r="D25" t="n">
        <v>5</v>
      </c>
      <c r="E25" t="n">
        <v>15</v>
      </c>
      <c r="F25" s="2">
        <f>E25/B25</f>
        <v/>
      </c>
      <c r="G25" s="2" t="n">
        <v>0.04571</v>
      </c>
      <c r="H25" s="2" t="n">
        <v>0.13433</v>
      </c>
      <c r="I25" s="2" t="n">
        <v>0</v>
      </c>
      <c r="J25" s="2" t="n">
        <v>0.10479</v>
      </c>
      <c r="K25" s="3" t="inlineStr">
        <is>
          <t>異常：超出管制界限；預警：3 點中 2 點超過 +2σ</t>
        </is>
      </c>
      <c r="L25" t="n">
        <v>15</v>
      </c>
      <c r="M25" t="n">
        <v>5</v>
      </c>
    </row>
    <row r="26">
      <c r="A26" t="inlineStr">
        <is>
          <t>L25</t>
        </is>
      </c>
      <c r="B26" t="n">
        <v>50</v>
      </c>
      <c r="C26" t="n">
        <v>32</v>
      </c>
      <c r="D26" t="n">
        <v>1</v>
      </c>
      <c r="E26" t="n">
        <v>17</v>
      </c>
      <c r="F26" s="2">
        <f>E26/B26</f>
        <v/>
      </c>
      <c r="G26" s="2" t="n">
        <v>0.04571</v>
      </c>
      <c r="H26" s="2" t="n">
        <v>0.13433</v>
      </c>
      <c r="I26" s="2" t="n">
        <v>0</v>
      </c>
      <c r="J26" s="2" t="n">
        <v>0.10479</v>
      </c>
      <c r="K26" s="3" t="inlineStr">
        <is>
          <t>異常：超出管制界限；預警：3 點中 2 點超過 +2σ</t>
        </is>
      </c>
      <c r="L26" t="n">
        <v>17</v>
      </c>
      <c r="M26" t="n">
        <v>2</v>
      </c>
    </row>
    <row r="28">
      <c r="A28" s="5" t="inlineStr">
        <is>
          <t>管制界限以 L01–L14（Phase I 基準期）計算；p̄ 與 σ = sqrt(p̄(1−p̄)/n)</t>
        </is>
      </c>
    </row>
    <row r="29">
      <c r="A29" t="inlineStr">
        <is>
          <t>首次預警：L20；首次異常：L19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缺陷分類</t>
        </is>
      </c>
      <c r="B1" t="inlineStr">
        <is>
          <t>L01–L14</t>
        </is>
      </c>
      <c r="C1" t="inlineStr">
        <is>
          <t>L15–L25</t>
        </is>
      </c>
    </row>
    <row r="2">
      <c r="A2" t="inlineStr">
        <is>
          <t>CHP</t>
        </is>
      </c>
      <c r="B2" t="n">
        <v>24</v>
      </c>
      <c r="C2" t="n">
        <v>107</v>
      </c>
    </row>
    <row r="3">
      <c r="A3" t="inlineStr">
        <is>
          <t>CRK</t>
        </is>
      </c>
      <c r="B3" t="n">
        <v>1</v>
      </c>
      <c r="C3" t="n">
        <v>3</v>
      </c>
    </row>
    <row r="4">
      <c r="A4" t="inlineStr">
        <is>
          <t>SCR</t>
        </is>
      </c>
      <c r="B4" t="n">
        <v>15</v>
      </c>
      <c r="C4" t="n">
        <v>13</v>
      </c>
    </row>
    <row r="5">
      <c r="A5" t="inlineStr">
        <is>
          <t>CON</t>
        </is>
      </c>
      <c r="B5" t="n">
        <v>31</v>
      </c>
      <c r="C5" t="n">
        <v>23</v>
      </c>
    </row>
    <row r="7">
      <c r="A7" t="inlineStr">
        <is>
          <t>各批明細</t>
        </is>
      </c>
    </row>
    <row r="8">
      <c r="A8" t="inlineStr">
        <is>
          <t>批</t>
        </is>
      </c>
      <c r="B8" t="inlineStr">
        <is>
          <t>CHP</t>
        </is>
      </c>
      <c r="C8" t="inlineStr">
        <is>
          <t>CRK</t>
        </is>
      </c>
      <c r="D8" t="inlineStr">
        <is>
          <t>SCR</t>
        </is>
      </c>
      <c r="E8" t="inlineStr">
        <is>
          <t>CON</t>
        </is>
      </c>
    </row>
    <row r="9">
      <c r="A9" t="inlineStr">
        <is>
          <t>L01</t>
        </is>
      </c>
      <c r="B9" t="n">
        <v>4</v>
      </c>
      <c r="C9" t="n">
        <v>0</v>
      </c>
      <c r="D9" t="n">
        <v>0</v>
      </c>
      <c r="E9" t="n">
        <v>1</v>
      </c>
    </row>
    <row r="10">
      <c r="A10" t="inlineStr">
        <is>
          <t>L02</t>
        </is>
      </c>
      <c r="B10" t="n">
        <v>1</v>
      </c>
      <c r="C10" t="n">
        <v>0</v>
      </c>
      <c r="D10" t="n">
        <v>2</v>
      </c>
      <c r="E10" t="n">
        <v>3</v>
      </c>
    </row>
    <row r="11">
      <c r="A11" t="inlineStr">
        <is>
          <t>L03</t>
        </is>
      </c>
      <c r="B11" t="n">
        <v>2</v>
      </c>
      <c r="C11" t="n">
        <v>0</v>
      </c>
      <c r="D11" t="n">
        <v>0</v>
      </c>
      <c r="E11" t="n">
        <v>2</v>
      </c>
    </row>
    <row r="12">
      <c r="A12" t="inlineStr">
        <is>
          <t>L04</t>
        </is>
      </c>
      <c r="B12" t="n">
        <v>0</v>
      </c>
      <c r="C12" t="n">
        <v>0</v>
      </c>
      <c r="D12" t="n">
        <v>1</v>
      </c>
      <c r="E12" t="n">
        <v>4</v>
      </c>
    </row>
    <row r="13">
      <c r="A13" t="inlineStr">
        <is>
          <t>L05</t>
        </is>
      </c>
      <c r="B13" t="n">
        <v>2</v>
      </c>
      <c r="C13" t="n">
        <v>0</v>
      </c>
      <c r="D13" t="n">
        <v>2</v>
      </c>
      <c r="E13" t="n">
        <v>2</v>
      </c>
    </row>
    <row r="14">
      <c r="A14" t="inlineStr">
        <is>
          <t>L06</t>
        </is>
      </c>
      <c r="B14" t="n">
        <v>3</v>
      </c>
      <c r="C14" t="n">
        <v>0</v>
      </c>
      <c r="D14" t="n">
        <v>1</v>
      </c>
      <c r="E14" t="n">
        <v>0</v>
      </c>
    </row>
    <row r="15">
      <c r="A15" t="inlineStr">
        <is>
          <t>L07</t>
        </is>
      </c>
      <c r="B15" t="n">
        <v>0</v>
      </c>
      <c r="C15" t="n">
        <v>0</v>
      </c>
      <c r="D15" t="n">
        <v>0</v>
      </c>
      <c r="E15" t="n">
        <v>2</v>
      </c>
    </row>
    <row r="16">
      <c r="A16" t="inlineStr">
        <is>
          <t>L08</t>
        </is>
      </c>
      <c r="B16" t="n">
        <v>0</v>
      </c>
      <c r="C16" t="n">
        <v>0</v>
      </c>
      <c r="D16" t="n">
        <v>1</v>
      </c>
      <c r="E16" t="n">
        <v>2</v>
      </c>
    </row>
    <row r="17">
      <c r="A17" t="inlineStr">
        <is>
          <t>L09</t>
        </is>
      </c>
      <c r="B17" t="n">
        <v>1</v>
      </c>
      <c r="C17" t="n">
        <v>0</v>
      </c>
      <c r="D17" t="n">
        <v>0</v>
      </c>
      <c r="E17" t="n">
        <v>0</v>
      </c>
    </row>
    <row r="18">
      <c r="A18" t="inlineStr">
        <is>
          <t>L10</t>
        </is>
      </c>
      <c r="B18" t="n">
        <v>3</v>
      </c>
      <c r="C18" t="n">
        <v>0</v>
      </c>
      <c r="D18" t="n">
        <v>3</v>
      </c>
      <c r="E18" t="n">
        <v>5</v>
      </c>
    </row>
    <row r="19">
      <c r="A19" t="inlineStr">
        <is>
          <t>L11</t>
        </is>
      </c>
      <c r="B19" t="n">
        <v>5</v>
      </c>
      <c r="C19" t="n">
        <v>1</v>
      </c>
      <c r="D19" t="n">
        <v>2</v>
      </c>
      <c r="E19" t="n">
        <v>2</v>
      </c>
    </row>
    <row r="20">
      <c r="A20" t="inlineStr">
        <is>
          <t>L12</t>
        </is>
      </c>
      <c r="B20" t="n">
        <v>1</v>
      </c>
      <c r="C20" t="n">
        <v>0</v>
      </c>
      <c r="D20" t="n">
        <v>0</v>
      </c>
      <c r="E20" t="n">
        <v>2</v>
      </c>
    </row>
    <row r="21">
      <c r="A21" t="inlineStr">
        <is>
          <t>L13</t>
        </is>
      </c>
      <c r="B21" t="n">
        <v>1</v>
      </c>
      <c r="C21" t="n">
        <v>0</v>
      </c>
      <c r="D21" t="n">
        <v>2</v>
      </c>
      <c r="E21" t="n">
        <v>5</v>
      </c>
    </row>
    <row r="22">
      <c r="A22" t="inlineStr">
        <is>
          <t>L14</t>
        </is>
      </c>
      <c r="B22" t="n">
        <v>1</v>
      </c>
      <c r="C22" t="n">
        <v>0</v>
      </c>
      <c r="D22" t="n">
        <v>1</v>
      </c>
      <c r="E22" t="n">
        <v>1</v>
      </c>
    </row>
    <row r="23">
      <c r="A23" t="inlineStr">
        <is>
          <t>L15</t>
        </is>
      </c>
      <c r="B23" t="n">
        <v>4</v>
      </c>
      <c r="C23" t="n">
        <v>0</v>
      </c>
      <c r="D23" t="n">
        <v>3</v>
      </c>
      <c r="E23" t="n">
        <v>1</v>
      </c>
    </row>
    <row r="24">
      <c r="A24" t="inlineStr">
        <is>
          <t>L16</t>
        </is>
      </c>
      <c r="B24" t="n">
        <v>3</v>
      </c>
      <c r="C24" t="n">
        <v>0</v>
      </c>
      <c r="D24" t="n">
        <v>1</v>
      </c>
      <c r="E24" t="n">
        <v>2</v>
      </c>
    </row>
    <row r="25">
      <c r="A25" t="inlineStr">
        <is>
          <t>L17</t>
        </is>
      </c>
      <c r="B25" t="n">
        <v>6</v>
      </c>
      <c r="C25" t="n">
        <v>1</v>
      </c>
      <c r="D25" t="n">
        <v>0</v>
      </c>
      <c r="E25" t="n">
        <v>2</v>
      </c>
    </row>
    <row r="26">
      <c r="A26" t="inlineStr">
        <is>
          <t>L18</t>
        </is>
      </c>
      <c r="B26" t="n">
        <v>6</v>
      </c>
      <c r="C26" t="n">
        <v>0</v>
      </c>
      <c r="D26" t="n">
        <v>3</v>
      </c>
      <c r="E26" t="n">
        <v>1</v>
      </c>
    </row>
    <row r="27">
      <c r="A27" t="inlineStr">
        <is>
          <t>L19</t>
        </is>
      </c>
      <c r="B27" t="n">
        <v>8</v>
      </c>
      <c r="C27" t="n">
        <v>1</v>
      </c>
      <c r="D27" t="n">
        <v>0</v>
      </c>
      <c r="E27" t="n">
        <v>3</v>
      </c>
    </row>
    <row r="28">
      <c r="A28" t="inlineStr">
        <is>
          <t>L20</t>
        </is>
      </c>
      <c r="B28" t="n">
        <v>6</v>
      </c>
      <c r="C28" t="n">
        <v>1</v>
      </c>
      <c r="D28" t="n">
        <v>2</v>
      </c>
      <c r="E28" t="n">
        <v>1</v>
      </c>
    </row>
    <row r="29">
      <c r="A29" t="inlineStr">
        <is>
          <t>L21</t>
        </is>
      </c>
      <c r="B29" t="n">
        <v>13</v>
      </c>
      <c r="C29" t="n">
        <v>0</v>
      </c>
      <c r="D29" t="n">
        <v>1</v>
      </c>
      <c r="E29" t="n">
        <v>3</v>
      </c>
    </row>
    <row r="30">
      <c r="A30" t="inlineStr">
        <is>
          <t>L22</t>
        </is>
      </c>
      <c r="B30" t="n">
        <v>10</v>
      </c>
      <c r="C30" t="n">
        <v>0</v>
      </c>
      <c r="D30" t="n">
        <v>1</v>
      </c>
      <c r="E30" t="n">
        <v>3</v>
      </c>
    </row>
    <row r="31">
      <c r="A31" t="inlineStr">
        <is>
          <t>L23</t>
        </is>
      </c>
      <c r="B31" t="n">
        <v>16</v>
      </c>
      <c r="C31" t="n">
        <v>0</v>
      </c>
      <c r="D31" t="n">
        <v>1</v>
      </c>
      <c r="E31" t="n">
        <v>4</v>
      </c>
    </row>
    <row r="32">
      <c r="A32" t="inlineStr">
        <is>
          <t>L24</t>
        </is>
      </c>
      <c r="B32" t="n">
        <v>18</v>
      </c>
      <c r="C32" t="n">
        <v>0</v>
      </c>
      <c r="D32" t="n">
        <v>1</v>
      </c>
      <c r="E32" t="n">
        <v>1</v>
      </c>
    </row>
    <row r="33">
      <c r="A33" t="inlineStr">
        <is>
          <t>L25</t>
        </is>
      </c>
      <c r="B33" t="n">
        <v>17</v>
      </c>
      <c r="C33" t="n">
        <v>0</v>
      </c>
      <c r="D33" t="n">
        <v>0</v>
      </c>
      <c r="E3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所有數據為模擬（非真實產線數據）。</t>
        </is>
      </c>
    </row>
    <row r="2">
      <c r="A2" t="inlineStr">
        <is>
          <t>亂數種子 20261005；25 批 × 每批 50 顆。</t>
        </is>
      </c>
    </row>
    <row r="3">
      <c r="A3" t="inlineStr">
        <is>
          <t>真實缺陷：每顆晶粒每類缺陷獨立以機率 p 出現，嚴重度依 (門檻以下, Warning 級, Fail 級) 比例抽樣；晶粒真實判定取最嚴重者。</t>
        </is>
      </c>
    </row>
    <row r="4">
      <c r="A4" t="inlineStr">
        <is>
          <t xml:space="preserve">  CHP: p = 0.040，嚴重度比例 (0.2, 0.5, 0.3)</t>
        </is>
      </c>
    </row>
    <row r="5">
      <c r="A5" t="inlineStr">
        <is>
          <t xml:space="preserve">  CRK: p = 0.006，嚴重度比例 (0.0, 0.0, 1.0)</t>
        </is>
      </c>
    </row>
    <row r="6">
      <c r="A6" t="inlineStr">
        <is>
          <t xml:space="preserve">  SCR: p = 0.030，嚴重度比例 (0.2, 0.5, 0.3)</t>
        </is>
      </c>
    </row>
    <row r="7">
      <c r="A7" t="inlineStr">
        <is>
          <t xml:space="preserve">  CON: p = 0.050，嚴重度比例 (0.25, 0.5, 0.25)</t>
        </is>
      </c>
    </row>
    <row r="8">
      <c r="A8" t="inlineStr">
        <is>
          <t>漂移情境：自第 15 批起切割刀磨耗，CHP 崩角比例逐批上升（模擬）；自 L15 起 CHP 出現機率每批 +0.035，CHP 中 Fail 級比例由 0.30 線性升至 0.70（L25）。</t>
        </is>
      </c>
    </row>
    <row r="9">
      <c r="A9" t="inlineStr">
        <is>
          <t>判定層（主圖假設＝建議導入設計）：AI＋規則的判定依規範 v2.1 盲測第 1 次判定的混淆矩陣（不分缺陷分類）</t>
        </is>
      </c>
    </row>
    <row r="10">
      <c r="A10" t="inlineStr">
        <is>
          <t xml:space="preserve">  P(AI 判定 | 真實判定, 決定判定的缺陷分類) 抽樣；AI 判 Warning 的晶粒一律送人工複判，假設人工複判得到真實判定。</t>
        </is>
      </c>
    </row>
    <row r="11">
      <c r="A11" t="inlineStr">
        <is>
          <t xml:space="preserve">  AI 判 Pass（含漏判）直接放行、AI 判 Fail（含誤判）直接退件，不經人工 → 漏判率、誤判率維持實測值。</t>
        </is>
      </c>
    </row>
    <row r="12">
      <c r="A12" t="inlineStr">
        <is>
          <t>對照：第一輪規範 v1 的判定誤差（漏判 37%）跑同一批真實晶粒，結果見 control-chart-summary.json 的 v1Comparison。</t>
        </is>
      </c>
    </row>
    <row r="13">
      <c r="A13" t="inlineStr">
        <is>
          <t>敏感度分析（另一工作表）：同一真實缺陷流程，但不做人工複判、AI＋規則判定即最終判定。</t>
        </is>
      </c>
    </row>
    <row r="14">
      <c r="A14" t="inlineStr">
        <is>
          <t xml:space="preserve">  真實 Pass／— → AI 判定 Pass/Warning/Fail = 1.000, 0.000, 0.000</t>
        </is>
      </c>
    </row>
    <row r="15">
      <c r="A15" t="inlineStr">
        <is>
          <t xml:space="preserve">  真實 Warning／CHP → AI 判定 Pass/Warning/Fail = 0.074, 0.926, 0.000</t>
        </is>
      </c>
    </row>
    <row r="16">
      <c r="A16" t="inlineStr">
        <is>
          <t xml:space="preserve">  真實 Warning／CRK → AI 判定 Pass/Warning/Fail = 0.074, 0.926, 0.000</t>
        </is>
      </c>
    </row>
    <row r="17">
      <c r="A17" t="inlineStr">
        <is>
          <t xml:space="preserve">  真實 Warning／SCR → AI 判定 Pass/Warning/Fail = 0.074, 0.926, 0.000</t>
        </is>
      </c>
    </row>
    <row r="18">
      <c r="A18" t="inlineStr">
        <is>
          <t xml:space="preserve">  真實 Warning／CON → AI 判定 Pass/Warning/Fail = 0.074, 0.926, 0.000</t>
        </is>
      </c>
    </row>
    <row r="19">
      <c r="A19" t="inlineStr">
        <is>
          <t xml:space="preserve">  真實 Fail／CHP → AI 判定 Pass/Warning/Fail = 0.000, 0.000, 1.000</t>
        </is>
      </c>
    </row>
    <row r="20">
      <c r="A20" t="inlineStr">
        <is>
          <t xml:space="preserve">  真實 Fail／CRK → AI 判定 Pass/Warning/Fail = 0.000, 0.000, 1.000</t>
        </is>
      </c>
    </row>
    <row r="21">
      <c r="A21" t="inlineStr">
        <is>
          <t xml:space="preserve">  真實 Fail／SCR → AI 判定 Pass/Warning/Fail = 0.000, 0.000, 1.000</t>
        </is>
      </c>
    </row>
    <row r="22">
      <c r="A22" t="inlineStr">
        <is>
          <t xml:space="preserve">  真實 Fail／CON → AI 判定 Pass/Warning/Fail = 0.000, 0.000, 1.000</t>
        </is>
      </c>
    </row>
    <row r="23">
      <c r="A23" t="inlineStr">
        <is>
          <t>漏判率 = 0.000；誤判率 = 0.000（實測，lots.json judgementErrorRates）</t>
        </is>
      </c>
    </row>
    <row r="24">
      <c r="A24" t="inlineStr">
        <is>
          <t>判異規則：點超出 UCL → 異常；連續 7 點上升、或 3 點中 2 點超過 +2σ（同側）→ 預警。</t>
        </is>
      </c>
    </row>
    <row r="25">
      <c r="A25" t="inlineStr">
        <is>
          <t>柏拉圖：只計系統判定非 Pass 的晶粒上之 Warning／Fail 級缺陷；誤判晶粒依 AI 多報缺陷分類比例標記代碼。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7" max="7"/>
  </cols>
  <sheetData>
    <row r="1">
      <c r="A1" t="inlineStr">
        <is>
          <t>判定層：無人工複判（AI＋規則判定即最終判定，改善後實測誤差）；真實缺陷流程與主圖相同</t>
        </is>
      </c>
    </row>
    <row r="2">
      <c r="A2" t="inlineStr">
        <is>
          <t>CL = 0.0400；UCL = 0.1231；首次預警 = 21；首次異常 = 22</t>
        </is>
      </c>
    </row>
    <row r="3">
      <c r="A3" t="inlineStr">
        <is>
          <t>批</t>
        </is>
      </c>
      <c r="B3" t="inlineStr">
        <is>
          <t>n</t>
        </is>
      </c>
      <c r="C3" t="inlineStr">
        <is>
          <t>Pass</t>
        </is>
      </c>
      <c r="D3" t="inlineStr">
        <is>
          <t>Warning</t>
        </is>
      </c>
      <c r="E3" t="inlineStr">
        <is>
          <t>Fail</t>
        </is>
      </c>
      <c r="F3" t="inlineStr">
        <is>
          <t>批不良率 p</t>
        </is>
      </c>
      <c r="G3" t="inlineStr">
        <is>
          <t>判異訊號</t>
        </is>
      </c>
    </row>
    <row r="4">
      <c r="A4" t="inlineStr">
        <is>
          <t>L01</t>
        </is>
      </c>
      <c r="B4" t="n">
        <v>50</v>
      </c>
      <c r="C4" t="n">
        <v>42</v>
      </c>
      <c r="D4" t="n">
        <v>4</v>
      </c>
      <c r="E4" t="n">
        <v>4</v>
      </c>
      <c r="F4" s="2" t="n">
        <v>0.08</v>
      </c>
      <c r="G4" t="inlineStr"/>
    </row>
    <row r="5">
      <c r="A5" t="inlineStr">
        <is>
          <t>L02</t>
        </is>
      </c>
      <c r="B5" t="n">
        <v>50</v>
      </c>
      <c r="C5" t="n">
        <v>43</v>
      </c>
      <c r="D5" t="n">
        <v>7</v>
      </c>
      <c r="E5" t="n">
        <v>0</v>
      </c>
      <c r="F5" s="2" t="n">
        <v>0</v>
      </c>
      <c r="G5" t="inlineStr"/>
    </row>
    <row r="6">
      <c r="A6" t="inlineStr">
        <is>
          <t>L03</t>
        </is>
      </c>
      <c r="B6" t="n">
        <v>50</v>
      </c>
      <c r="C6" t="n">
        <v>45</v>
      </c>
      <c r="D6" t="n">
        <v>2</v>
      </c>
      <c r="E6" t="n">
        <v>3</v>
      </c>
      <c r="F6" s="2" t="n">
        <v>0.06</v>
      </c>
      <c r="G6" t="inlineStr"/>
    </row>
    <row r="7">
      <c r="A7" t="inlineStr">
        <is>
          <t>L04</t>
        </is>
      </c>
      <c r="B7" t="n">
        <v>50</v>
      </c>
      <c r="C7" t="n">
        <v>44</v>
      </c>
      <c r="D7" t="n">
        <v>4</v>
      </c>
      <c r="E7" t="n">
        <v>2</v>
      </c>
      <c r="F7" s="2" t="n">
        <v>0.04</v>
      </c>
      <c r="G7" t="inlineStr"/>
    </row>
    <row r="8">
      <c r="A8" t="inlineStr">
        <is>
          <t>L05</t>
        </is>
      </c>
      <c r="B8" t="n">
        <v>50</v>
      </c>
      <c r="C8" t="n">
        <v>42</v>
      </c>
      <c r="D8" t="n">
        <v>7</v>
      </c>
      <c r="E8" t="n">
        <v>1</v>
      </c>
      <c r="F8" s="2" t="n">
        <v>0.02</v>
      </c>
      <c r="G8" t="inlineStr"/>
    </row>
    <row r="9">
      <c r="A9" t="inlineStr">
        <is>
          <t>L06</t>
        </is>
      </c>
      <c r="B9" t="n">
        <v>50</v>
      </c>
      <c r="C9" t="n">
        <v>44</v>
      </c>
      <c r="D9" t="n">
        <v>4</v>
      </c>
      <c r="E9" t="n">
        <v>2</v>
      </c>
      <c r="F9" s="2" t="n">
        <v>0.04</v>
      </c>
      <c r="G9" t="inlineStr"/>
    </row>
    <row r="10">
      <c r="A10" t="inlineStr">
        <is>
          <t>L07</t>
        </is>
      </c>
      <c r="B10" t="n">
        <v>50</v>
      </c>
      <c r="C10" t="n">
        <v>48</v>
      </c>
      <c r="D10" t="n">
        <v>2</v>
      </c>
      <c r="E10" t="n">
        <v>0</v>
      </c>
      <c r="F10" s="2" t="n">
        <v>0</v>
      </c>
      <c r="G10" t="inlineStr"/>
    </row>
    <row r="11">
      <c r="A11" t="inlineStr">
        <is>
          <t>L08</t>
        </is>
      </c>
      <c r="B11" t="n">
        <v>50</v>
      </c>
      <c r="C11" t="n">
        <v>46</v>
      </c>
      <c r="D11" t="n">
        <v>3</v>
      </c>
      <c r="E11" t="n">
        <v>1</v>
      </c>
      <c r="F11" s="2" t="n">
        <v>0.02</v>
      </c>
      <c r="G11" t="inlineStr"/>
    </row>
    <row r="12">
      <c r="A12" t="inlineStr">
        <is>
          <t>L09</t>
        </is>
      </c>
      <c r="B12" t="n">
        <v>50</v>
      </c>
      <c r="C12" t="n">
        <v>48</v>
      </c>
      <c r="D12" t="n">
        <v>1</v>
      </c>
      <c r="E12" t="n">
        <v>1</v>
      </c>
      <c r="F12" s="2" t="n">
        <v>0.02</v>
      </c>
      <c r="G12" t="inlineStr"/>
    </row>
    <row r="13">
      <c r="A13" t="inlineStr">
        <is>
          <t>L10</t>
        </is>
      </c>
      <c r="B13" t="n">
        <v>50</v>
      </c>
      <c r="C13" t="n">
        <v>36</v>
      </c>
      <c r="D13" t="n">
        <v>6</v>
      </c>
      <c r="E13" t="n">
        <v>8</v>
      </c>
      <c r="F13" s="2" t="n">
        <v>0.16</v>
      </c>
      <c r="G13" t="inlineStr">
        <is>
          <t>異常：超出管制界限</t>
        </is>
      </c>
    </row>
    <row r="14">
      <c r="A14" t="inlineStr">
        <is>
          <t>L11</t>
        </is>
      </c>
      <c r="B14" t="n">
        <v>50</v>
      </c>
      <c r="C14" t="n">
        <v>41</v>
      </c>
      <c r="D14" t="n">
        <v>6</v>
      </c>
      <c r="E14" t="n">
        <v>3</v>
      </c>
      <c r="F14" s="2" t="n">
        <v>0.06</v>
      </c>
      <c r="G14" t="inlineStr"/>
    </row>
    <row r="15">
      <c r="A15" t="inlineStr">
        <is>
          <t>L12</t>
        </is>
      </c>
      <c r="B15" t="n">
        <v>50</v>
      </c>
      <c r="C15" t="n">
        <v>45</v>
      </c>
      <c r="D15" t="n">
        <v>4</v>
      </c>
      <c r="E15" t="n">
        <v>1</v>
      </c>
      <c r="F15" s="2" t="n">
        <v>0.02</v>
      </c>
      <c r="G15" t="inlineStr"/>
    </row>
    <row r="16">
      <c r="A16" t="inlineStr">
        <is>
          <t>L13</t>
        </is>
      </c>
      <c r="B16" t="n">
        <v>50</v>
      </c>
      <c r="C16" t="n">
        <v>44</v>
      </c>
      <c r="D16" t="n">
        <v>6</v>
      </c>
      <c r="E16" t="n">
        <v>0</v>
      </c>
      <c r="F16" s="2" t="n">
        <v>0</v>
      </c>
      <c r="G16" t="inlineStr"/>
    </row>
    <row r="17">
      <c r="A17" t="inlineStr">
        <is>
          <t>L14</t>
        </is>
      </c>
      <c r="B17" t="n">
        <v>50</v>
      </c>
      <c r="C17" t="n">
        <v>48</v>
      </c>
      <c r="D17" t="n">
        <v>0</v>
      </c>
      <c r="E17" t="n">
        <v>2</v>
      </c>
      <c r="F17" s="2" t="n">
        <v>0.04</v>
      </c>
      <c r="G17" t="inlineStr"/>
    </row>
    <row r="18">
      <c r="A18" t="inlineStr">
        <is>
          <t>L15</t>
        </is>
      </c>
      <c r="B18" t="n">
        <v>50</v>
      </c>
      <c r="C18" t="n">
        <v>42</v>
      </c>
      <c r="D18" t="n">
        <v>5</v>
      </c>
      <c r="E18" t="n">
        <v>3</v>
      </c>
      <c r="F18" s="2" t="n">
        <v>0.06</v>
      </c>
      <c r="G18" t="inlineStr"/>
    </row>
    <row r="19">
      <c r="A19" t="inlineStr">
        <is>
          <t>L16</t>
        </is>
      </c>
      <c r="B19" t="n">
        <v>50</v>
      </c>
      <c r="C19" t="n">
        <v>44</v>
      </c>
      <c r="D19" t="n">
        <v>5</v>
      </c>
      <c r="E19" t="n">
        <v>1</v>
      </c>
      <c r="F19" s="2" t="n">
        <v>0.02</v>
      </c>
      <c r="G19" t="inlineStr"/>
    </row>
    <row r="20">
      <c r="A20" t="inlineStr">
        <is>
          <t>L17</t>
        </is>
      </c>
      <c r="B20" t="n">
        <v>50</v>
      </c>
      <c r="C20" t="n">
        <v>41</v>
      </c>
      <c r="D20" t="n">
        <v>4</v>
      </c>
      <c r="E20" t="n">
        <v>5</v>
      </c>
      <c r="F20" s="2" t="n">
        <v>0.1</v>
      </c>
      <c r="G20" t="inlineStr"/>
    </row>
    <row r="21">
      <c r="A21" t="inlineStr">
        <is>
          <t>L18</t>
        </is>
      </c>
      <c r="B21" t="n">
        <v>50</v>
      </c>
      <c r="C21" t="n">
        <v>41</v>
      </c>
      <c r="D21" t="n">
        <v>7</v>
      </c>
      <c r="E21" t="n">
        <v>2</v>
      </c>
      <c r="F21" s="2" t="n">
        <v>0.04</v>
      </c>
      <c r="G21" t="inlineStr"/>
    </row>
    <row r="22">
      <c r="A22" t="inlineStr">
        <is>
          <t>L19</t>
        </is>
      </c>
      <c r="B22" t="n">
        <v>50</v>
      </c>
      <c r="C22" t="n">
        <v>39</v>
      </c>
      <c r="D22" t="n">
        <v>7</v>
      </c>
      <c r="E22" t="n">
        <v>4</v>
      </c>
      <c r="F22" s="2" t="n">
        <v>0.08</v>
      </c>
      <c r="G22" t="inlineStr"/>
    </row>
    <row r="23">
      <c r="A23" t="inlineStr">
        <is>
          <t>L20</t>
        </is>
      </c>
      <c r="B23" t="n">
        <v>50</v>
      </c>
      <c r="C23" t="n">
        <v>40</v>
      </c>
      <c r="D23" t="n">
        <v>4</v>
      </c>
      <c r="E23" t="n">
        <v>6</v>
      </c>
      <c r="F23" s="2" t="n">
        <v>0.12</v>
      </c>
      <c r="G23" t="inlineStr"/>
    </row>
    <row r="24">
      <c r="A24" t="inlineStr">
        <is>
          <t>L21</t>
        </is>
      </c>
      <c r="B24" t="n">
        <v>50</v>
      </c>
      <c r="C24" t="n">
        <v>33</v>
      </c>
      <c r="D24" t="n">
        <v>11</v>
      </c>
      <c r="E24" t="n">
        <v>6</v>
      </c>
      <c r="F24" s="2" t="n">
        <v>0.12</v>
      </c>
      <c r="G24" t="inlineStr">
        <is>
          <t>預警：3 點中 2 點超過 +2σ</t>
        </is>
      </c>
    </row>
    <row r="25">
      <c r="A25" t="inlineStr">
        <is>
          <t>L22</t>
        </is>
      </c>
      <c r="B25" t="n">
        <v>50</v>
      </c>
      <c r="C25" t="n">
        <v>37</v>
      </c>
      <c r="D25" t="n">
        <v>5</v>
      </c>
      <c r="E25" t="n">
        <v>8</v>
      </c>
      <c r="F25" s="2" t="n">
        <v>0.16</v>
      </c>
      <c r="G25" t="inlineStr">
        <is>
          <t>異常：超出管制界限；預警：3 點中 2 點超過 +2σ</t>
        </is>
      </c>
    </row>
    <row r="26">
      <c r="A26" t="inlineStr">
        <is>
          <t>L23</t>
        </is>
      </c>
      <c r="B26" t="n">
        <v>50</v>
      </c>
      <c r="C26" t="n">
        <v>30</v>
      </c>
      <c r="D26" t="n">
        <v>10</v>
      </c>
      <c r="E26" t="n">
        <v>10</v>
      </c>
      <c r="F26" s="2" t="n">
        <v>0.2</v>
      </c>
      <c r="G26" t="inlineStr">
        <is>
          <t>異常：超出管制界限；預警：3 點中 2 點超過 +2σ</t>
        </is>
      </c>
    </row>
    <row r="27">
      <c r="A27" t="inlineStr">
        <is>
          <t>L24</t>
        </is>
      </c>
      <c r="B27" t="n">
        <v>50</v>
      </c>
      <c r="C27" t="n">
        <v>28</v>
      </c>
      <c r="D27" t="n">
        <v>8</v>
      </c>
      <c r="E27" t="n">
        <v>14</v>
      </c>
      <c r="F27" s="2" t="n">
        <v>0.28</v>
      </c>
      <c r="G27" t="inlineStr">
        <is>
          <t>異常：超出管制界限；預警：3 點中 2 點超過 +2σ</t>
        </is>
      </c>
    </row>
    <row r="28">
      <c r="A28" t="inlineStr">
        <is>
          <t>L25</t>
        </is>
      </c>
      <c r="B28" t="n">
        <v>50</v>
      </c>
      <c r="C28" t="n">
        <v>31</v>
      </c>
      <c r="D28" t="n">
        <v>6</v>
      </c>
      <c r="E28" t="n">
        <v>13</v>
      </c>
      <c r="F28" s="2" t="n">
        <v>0.26</v>
      </c>
      <c r="G28" t="inlineStr">
        <is>
          <t>異常：超出管制界限；預警：3 點中 2 點超過 +2σ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2026-10-15T16:07:55Z</dcterms:created>
  <dcterms:modified xsi:type="dcterms:W3CDTF">2026-10-15T16:07:55Z</dcterms:modified>
</cp:coreProperties>
</file>