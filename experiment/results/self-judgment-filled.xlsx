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5"/>
    <sheet state="visible" name="第1輪" sheetId="2" r:id="rId6"/>
    <sheet state="visible" name="第2輪" sheetId="3" r:id="rId7"/>
    <sheet state="hidden" name="標準答案" sheetId="4" r:id="rId8"/>
    <sheet state="visible" name="重複性計算" sheetId="5" r:id="rId9"/>
  </sheets>
  <definedNames/>
  <calcPr/>
</workbook>
</file>

<file path=xl/sharedStrings.xml><?xml version="1.0" encoding="utf-8"?>
<sst xmlns="http://schemas.openxmlformats.org/spreadsheetml/2006/main" count="474" uniqueCount="113">
  <si>
    <t>樣本</t>
  </si>
  <si>
    <t>作者本人判定表（一致性分析：人工評估者）</t>
  </si>
  <si>
    <t>序</t>
  </si>
  <si>
    <t>標準答案判定</t>
  </si>
  <si>
    <t>標準答案缺陷</t>
  </si>
  <si>
    <t>S01</t>
  </si>
  <si>
    <t>Warning</t>
  </si>
  <si>
    <t>SCR core 150.0µm</t>
  </si>
  <si>
    <t>S02</t>
  </si>
  <si>
    <t>Pass</t>
  </si>
  <si>
    <t>無</t>
  </si>
  <si>
    <t>S03</t>
  </si>
  <si>
    <t>SCR peripheral 250.0µm</t>
  </si>
  <si>
    <t>S04</t>
  </si>
  <si>
    <t>Fail</t>
  </si>
  <si>
    <t>CON core 25µm; CON core 30µm; CON core 35µm</t>
  </si>
  <si>
    <t>S05</t>
  </si>
  <si>
    <t>CON peripheral 60µm</t>
  </si>
  <si>
    <t>S06</t>
  </si>
  <si>
    <t>S07</t>
  </si>
  <si>
    <t>S08</t>
  </si>
  <si>
    <t>CHP peripheral 25µm</t>
  </si>
  <si>
    <t>S09</t>
  </si>
  <si>
    <t>S10</t>
  </si>
  <si>
    <t>CON core 15µm; CHP peripheral 6µm</t>
  </si>
  <si>
    <t>S11</t>
  </si>
  <si>
    <t>S12</t>
  </si>
  <si>
    <t>缺陷代碼（無／CHP／CRK／SCR／CON，多個以 ; 分隔）</t>
  </si>
  <si>
    <t>S13</t>
  </si>
  <si>
    <t>區域（core／peripheral）</t>
  </si>
  <si>
    <t>SCR peripheral 400.3µm</t>
  </si>
  <si>
    <t>量測 (µm)</t>
  </si>
  <si>
    <t>S14</t>
  </si>
  <si>
    <t>判定</t>
  </si>
  <si>
    <t>SCR core 70.0µm</t>
  </si>
  <si>
    <t>備註</t>
  </si>
  <si>
    <t>S15</t>
  </si>
  <si>
    <t>S16</t>
  </si>
  <si>
    <t>S19</t>
  </si>
  <si>
    <t>CRK peripheral 158.7µm</t>
  </si>
  <si>
    <t>1. 依 docs/spec/inspection-spec-v1.md（檢驗規範 v1）判定 experiment/samples/ 中的 40 張樣本影像。</t>
  </si>
  <si>
    <t>S17</t>
  </si>
  <si>
    <t>2. 先填「第1輪」，隔天再填「第2輪」（兩輪順序已打亂且不同），第2輪時不要回看第1輪。</t>
  </si>
  <si>
    <t>S18</t>
  </si>
  <si>
    <t>CON;CON</t>
  </si>
  <si>
    <t>3. 每張樣本一列：缺陷代碼、區域、量測 (µm，5 µm/px)、判定（下拉選 Pass／Warning／Fail）。無缺陷請填「無」並判 Pass。</t>
  </si>
  <si>
    <t>CHP core 150µm 觸及seal ring</t>
  </si>
  <si>
    <t>4. 「重複性計算」工作表會自動計算本人重複性、對標準答案一致率、漏判率、誤判率、人工複判率。</t>
  </si>
  <si>
    <t>5. 「標準答案」工作表已隱藏；兩輪都填完後再取消隱藏（右鍵工作表標籤 → 取消隱藏）。</t>
  </si>
  <si>
    <t>CON core 25µm; CON core 40µm</t>
  </si>
  <si>
    <t>S20</t>
  </si>
  <si>
    <t>CON core 70µm</t>
  </si>
  <si>
    <t>S21</t>
  </si>
  <si>
    <t>S22</t>
  </si>
  <si>
    <t>S37</t>
  </si>
  <si>
    <t>S23</t>
  </si>
  <si>
    <t>SCR</t>
  </si>
  <si>
    <t>CHP peripheral 105µm 觸及seal ring</t>
  </si>
  <si>
    <t>S24</t>
  </si>
  <si>
    <t>CHP peripheral 8µm</t>
  </si>
  <si>
    <t>S25</t>
  </si>
  <si>
    <t>SCR core 450.0µm</t>
  </si>
  <si>
    <t>S26</t>
  </si>
  <si>
    <t>SCR peripheral 150.4µm</t>
  </si>
  <si>
    <t>S27</t>
  </si>
  <si>
    <t>core</t>
  </si>
  <si>
    <t>20;30</t>
  </si>
  <si>
    <t>CHP peripheral 5µm</t>
  </si>
  <si>
    <t>S28</t>
  </si>
  <si>
    <t>CHP peripheral 12µm</t>
  </si>
  <si>
    <t>有兩顆</t>
  </si>
  <si>
    <t>S29</t>
  </si>
  <si>
    <t>CON core 12µm</t>
  </si>
  <si>
    <t>S30</t>
  </si>
  <si>
    <t>CHP</t>
  </si>
  <si>
    <t>S31</t>
  </si>
  <si>
    <t>CON peripheral 35µm</t>
  </si>
  <si>
    <t>peripheral</t>
  </si>
  <si>
    <t>S32</t>
  </si>
  <si>
    <t>CON core 15µm; CON core 15µm</t>
  </si>
  <si>
    <t>S33</t>
  </si>
  <si>
    <t>CHP peripheral 20µm</t>
  </si>
  <si>
    <t>S34</t>
  </si>
  <si>
    <t>CRK core 400.0µm</t>
  </si>
  <si>
    <t>S35</t>
  </si>
  <si>
    <t>CON core 30µm</t>
  </si>
  <si>
    <t>S36</t>
  </si>
  <si>
    <t>SCR core 280.0µm</t>
  </si>
  <si>
    <t>S38</t>
  </si>
  <si>
    <t>CHP peripheral 40µm</t>
  </si>
  <si>
    <t>S39</t>
  </si>
  <si>
    <t>SCR core 180.0µm 經過pad</t>
  </si>
  <si>
    <t>CON</t>
  </si>
  <si>
    <t>S40</t>
  </si>
  <si>
    <t>CRK</t>
  </si>
  <si>
    <t>CON;CON;CON</t>
  </si>
  <si>
    <t>25;30;30</t>
  </si>
  <si>
    <t>30;15</t>
  </si>
  <si>
    <t>第1輪判定</t>
  </si>
  <si>
    <t>第2輪判定</t>
  </si>
  <si>
    <t>兩輪一致 (1/0)</t>
  </si>
  <si>
    <t>標準答案</t>
  </si>
  <si>
    <t>第1輪對 (1/0)</t>
  </si>
  <si>
    <t>第2輪對 (1/0)</t>
  </si>
  <si>
    <t>20;30;30</t>
  </si>
  <si>
    <t>3顆</t>
  </si>
  <si>
    <t>兩輪皆已填的樣本數</t>
  </si>
  <si>
    <t>重複性（兩輪判定一致比例）</t>
  </si>
  <si>
    <t>對標準答案一致率（第1輪）</t>
  </si>
  <si>
    <t>對標準答案一致率（第2輪）</t>
  </si>
  <si>
    <t>漏判率（標準答案 Fail 被判 Pass，兩輪合計）</t>
  </si>
  <si>
    <t>誤判率（標準答案 Pass 被判 Fail，兩輪合計）</t>
  </si>
  <si>
    <t>人工複判率（判 Warning 比例，兩輪合計）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</si>
</sst>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3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4F6F"/>
        <bgColor rgb="FF2F4F6F"/>
      </patternFill>
    </fill>
    <fill>
      <patternFill patternType="solid">
        <fgColor rgb="FFFFF8DC"/>
        <bgColor rgb="FFFFF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1" fillId="3" fontId="4" numFmtId="0" xfId="0" applyAlignment="1" applyBorder="1" applyFill="1" applyFont="1">
      <alignment readingOrder="0"/>
    </xf>
    <xf borderId="1" fillId="3" fontId="4" numFmtId="0" xfId="0" applyBorder="1" applyFill="1" applyFont="1"/>
    <xf borderId="0" fillId="0" fontId="5" numFmtId="0" xfId="0" applyFont="1"/>
    <xf borderId="0" fillId="0" fontId="4" numFmtId="1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3" t="s">
        <v>1</v>
      </c>
    </row>
    <row r="2">
      <c r="A2" s="1" t="s">
        <v>40</v>
      </c>
    </row>
    <row r="3">
      <c r="A3" s="1" t="s">
        <v>42</v>
      </c>
    </row>
    <row r="4">
      <c r="A4" s="1" t="s">
        <v>45</v>
      </c>
    </row>
    <row r="5">
      <c r="A5" s="1" t="s">
        <v>47</v>
      </c>
    </row>
    <row r="6">
      <c r="A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34.0"/>
    <col customWidth="1" min="4" max="4" width="22.0"/>
    <col customWidth="1" min="5" max="5" width="14.0"/>
    <col customWidth="1" min="6" max="6" width="12.0"/>
    <col customWidth="1" min="7" max="7" width="30.0"/>
    <col customWidth="1" min="8" max="26" width="8.71"/>
  </cols>
  <sheetData>
    <row r="1">
      <c r="A1" s="2" t="s">
        <v>2</v>
      </c>
      <c r="B1" s="2" t="s">
        <v>0</v>
      </c>
      <c r="C1" s="2" t="s">
        <v>27</v>
      </c>
      <c r="D1" s="2" t="s">
        <v>29</v>
      </c>
      <c r="E1" s="2" t="s">
        <v>31</v>
      </c>
      <c r="F1" s="2" t="s">
        <v>33</v>
      </c>
      <c r="G1" s="2" t="s">
        <v>35</v>
      </c>
    </row>
    <row r="2">
      <c r="A2" s="1">
        <v>1.0</v>
      </c>
      <c r="B2" s="1" t="s">
        <v>38</v>
      </c>
      <c r="C2" s="4" t="s">
        <v>44</v>
      </c>
      <c r="D2" s="4" t="s">
        <v>65</v>
      </c>
      <c r="E2" s="4" t="s">
        <v>66</v>
      </c>
      <c r="F2" s="4" t="s">
        <v>6</v>
      </c>
      <c r="G2" s="4" t="s">
        <v>70</v>
      </c>
    </row>
    <row r="3">
      <c r="A3" s="1">
        <v>2.0</v>
      </c>
      <c r="B3" s="1" t="s">
        <v>20</v>
      </c>
      <c r="C3" s="4" t="s">
        <v>74</v>
      </c>
      <c r="D3" s="4" t="s">
        <v>77</v>
      </c>
      <c r="E3" s="4">
        <v>20.0</v>
      </c>
      <c r="F3" s="4" t="s">
        <v>14</v>
      </c>
      <c r="G3" s="5"/>
    </row>
    <row r="4">
      <c r="A4" s="1">
        <v>3.0</v>
      </c>
      <c r="B4" s="1" t="s">
        <v>58</v>
      </c>
      <c r="C4" s="4" t="s">
        <v>74</v>
      </c>
      <c r="D4" s="4" t="s">
        <v>77</v>
      </c>
      <c r="E4" s="4">
        <v>15.0</v>
      </c>
      <c r="F4" s="4" t="s">
        <v>14</v>
      </c>
      <c r="G4" s="5"/>
    </row>
    <row r="5">
      <c r="A5" s="1">
        <v>4.0</v>
      </c>
      <c r="B5" s="1" t="s">
        <v>41</v>
      </c>
      <c r="C5" s="4" t="s">
        <v>10</v>
      </c>
      <c r="D5" s="5"/>
      <c r="E5" s="5"/>
      <c r="F5" s="4" t="s">
        <v>9</v>
      </c>
      <c r="G5" s="5"/>
    </row>
    <row r="6">
      <c r="A6" s="1">
        <v>5.0</v>
      </c>
      <c r="B6" s="1" t="s">
        <v>55</v>
      </c>
      <c r="C6" s="4" t="s">
        <v>74</v>
      </c>
      <c r="D6" s="4" t="s">
        <v>77</v>
      </c>
      <c r="E6" s="4">
        <v>105.0</v>
      </c>
      <c r="F6" s="4" t="s">
        <v>14</v>
      </c>
      <c r="G6" s="5"/>
    </row>
    <row r="7">
      <c r="A7" s="1">
        <v>6.0</v>
      </c>
      <c r="B7" s="1" t="s">
        <v>53</v>
      </c>
      <c r="C7" s="4" t="s">
        <v>10</v>
      </c>
      <c r="D7" s="5"/>
      <c r="E7" s="5"/>
      <c r="F7" s="4" t="s">
        <v>9</v>
      </c>
      <c r="G7" s="5"/>
    </row>
    <row r="8">
      <c r="A8" s="1">
        <v>7.0</v>
      </c>
      <c r="B8" s="1" t="s">
        <v>19</v>
      </c>
      <c r="C8" s="4" t="s">
        <v>10</v>
      </c>
      <c r="D8" s="5"/>
      <c r="E8" s="5"/>
      <c r="F8" s="4" t="s">
        <v>9</v>
      </c>
      <c r="G8" s="5"/>
    </row>
    <row r="9">
      <c r="A9" s="1">
        <v>8.0</v>
      </c>
      <c r="B9" s="1" t="s">
        <v>25</v>
      </c>
      <c r="C9" s="4" t="s">
        <v>10</v>
      </c>
      <c r="D9" s="5"/>
      <c r="E9" s="5"/>
      <c r="F9" s="4" t="s">
        <v>9</v>
      </c>
      <c r="G9" s="5"/>
    </row>
    <row r="10">
      <c r="A10" s="1">
        <v>9.0</v>
      </c>
      <c r="B10" s="1" t="s">
        <v>60</v>
      </c>
      <c r="C10" s="4" t="s">
        <v>56</v>
      </c>
      <c r="D10" s="4" t="s">
        <v>65</v>
      </c>
      <c r="E10" s="4">
        <v>452.0</v>
      </c>
      <c r="F10" s="4" t="s">
        <v>6</v>
      </c>
      <c r="G10" s="5"/>
    </row>
    <row r="11">
      <c r="A11" s="1">
        <v>10.0</v>
      </c>
      <c r="B11" s="1" t="s">
        <v>64</v>
      </c>
      <c r="C11" s="4" t="s">
        <v>10</v>
      </c>
      <c r="D11" s="5"/>
      <c r="E11" s="5"/>
      <c r="F11" s="4" t="s">
        <v>9</v>
      </c>
      <c r="G11" s="5"/>
    </row>
    <row r="12">
      <c r="A12" s="1">
        <v>11.0</v>
      </c>
      <c r="B12" s="1" t="s">
        <v>82</v>
      </c>
      <c r="C12" s="4" t="s">
        <v>94</v>
      </c>
      <c r="D12" s="4" t="s">
        <v>65</v>
      </c>
      <c r="E12" s="4">
        <v>230.0</v>
      </c>
      <c r="F12" s="4" t="s">
        <v>14</v>
      </c>
      <c r="G12" s="5"/>
    </row>
    <row r="13">
      <c r="A13" s="1">
        <v>12.0</v>
      </c>
      <c r="B13" s="1" t="s">
        <v>37</v>
      </c>
      <c r="C13" s="4" t="s">
        <v>10</v>
      </c>
      <c r="D13" s="5"/>
      <c r="E13" s="5"/>
      <c r="F13" s="4" t="s">
        <v>9</v>
      </c>
      <c r="G13" s="5"/>
    </row>
    <row r="14">
      <c r="A14" s="1">
        <v>13.0</v>
      </c>
      <c r="B14" s="1" t="s">
        <v>88</v>
      </c>
      <c r="C14" s="4" t="s">
        <v>74</v>
      </c>
      <c r="D14" s="4" t="s">
        <v>77</v>
      </c>
      <c r="E14" s="4">
        <v>40.0</v>
      </c>
      <c r="F14" s="4" t="s">
        <v>14</v>
      </c>
      <c r="G14" s="5"/>
    </row>
    <row r="15">
      <c r="A15" s="1">
        <v>14.0</v>
      </c>
      <c r="B15" s="1" t="s">
        <v>22</v>
      </c>
      <c r="C15" s="4" t="s">
        <v>10</v>
      </c>
      <c r="D15" s="5"/>
      <c r="E15" s="5"/>
      <c r="F15" s="4" t="s">
        <v>9</v>
      </c>
      <c r="G15" s="5"/>
    </row>
    <row r="16">
      <c r="A16" s="1">
        <v>15.0</v>
      </c>
      <c r="B16" s="1" t="s">
        <v>32</v>
      </c>
      <c r="C16" s="4" t="s">
        <v>56</v>
      </c>
      <c r="D16" s="4" t="s">
        <v>65</v>
      </c>
      <c r="E16" s="4">
        <v>45.0</v>
      </c>
      <c r="F16" s="4" t="s">
        <v>6</v>
      </c>
      <c r="G16" s="5"/>
    </row>
    <row r="17">
      <c r="A17" s="1">
        <v>16.0</v>
      </c>
      <c r="B17" s="1" t="s">
        <v>5</v>
      </c>
      <c r="C17" s="4" t="s">
        <v>56</v>
      </c>
      <c r="D17" s="4" t="s">
        <v>65</v>
      </c>
      <c r="E17" s="4">
        <v>150.0</v>
      </c>
      <c r="F17" s="4" t="s">
        <v>6</v>
      </c>
      <c r="G17" s="5"/>
    </row>
    <row r="18">
      <c r="A18" s="1">
        <v>17.0</v>
      </c>
      <c r="B18" s="1" t="s">
        <v>68</v>
      </c>
      <c r="C18" s="4" t="s">
        <v>10</v>
      </c>
      <c r="D18" s="5"/>
      <c r="E18" s="5"/>
      <c r="F18" s="4" t="s">
        <v>9</v>
      </c>
      <c r="G18" s="5"/>
    </row>
    <row r="19">
      <c r="A19" s="1">
        <v>18.0</v>
      </c>
      <c r="B19" s="1" t="s">
        <v>54</v>
      </c>
      <c r="C19" s="4" t="s">
        <v>56</v>
      </c>
      <c r="D19" s="4" t="s">
        <v>65</v>
      </c>
      <c r="E19" s="4">
        <v>250.0</v>
      </c>
      <c r="F19" s="4" t="s">
        <v>6</v>
      </c>
      <c r="G19" s="5"/>
    </row>
    <row r="20">
      <c r="A20" s="1">
        <v>19.0</v>
      </c>
      <c r="B20" s="1" t="s">
        <v>84</v>
      </c>
      <c r="C20" s="4" t="s">
        <v>92</v>
      </c>
      <c r="D20" s="4" t="s">
        <v>65</v>
      </c>
      <c r="E20" s="4">
        <v>30.0</v>
      </c>
      <c r="F20" s="4" t="s">
        <v>6</v>
      </c>
      <c r="G20" s="5"/>
    </row>
    <row r="21" ht="15.75" customHeight="1">
      <c r="A21" s="1">
        <v>20.0</v>
      </c>
      <c r="B21" s="1" t="s">
        <v>8</v>
      </c>
      <c r="C21" s="4" t="s">
        <v>10</v>
      </c>
      <c r="D21" s="5"/>
      <c r="E21" s="5"/>
      <c r="F21" s="4" t="s">
        <v>9</v>
      </c>
      <c r="G21" s="5"/>
    </row>
    <row r="22" ht="15.75" customHeight="1">
      <c r="A22" s="1">
        <v>21.0</v>
      </c>
      <c r="B22" s="1" t="s">
        <v>78</v>
      </c>
      <c r="C22" s="4" t="s">
        <v>92</v>
      </c>
      <c r="D22" s="4" t="s">
        <v>65</v>
      </c>
      <c r="E22" s="4">
        <v>15.0</v>
      </c>
      <c r="F22" s="4" t="s">
        <v>6</v>
      </c>
      <c r="G22" s="5"/>
    </row>
    <row r="23" ht="15.75" customHeight="1">
      <c r="A23" s="1">
        <v>22.0</v>
      </c>
      <c r="B23" s="1" t="s">
        <v>43</v>
      </c>
      <c r="C23" s="4" t="s">
        <v>74</v>
      </c>
      <c r="D23" s="4" t="s">
        <v>77</v>
      </c>
      <c r="E23" s="4">
        <v>155.0</v>
      </c>
      <c r="F23" s="5"/>
      <c r="G23" s="5"/>
    </row>
    <row r="24" ht="15.75" customHeight="1">
      <c r="A24" s="1">
        <v>23.0</v>
      </c>
      <c r="B24" s="1" t="s">
        <v>11</v>
      </c>
      <c r="C24" s="4" t="s">
        <v>10</v>
      </c>
      <c r="D24" s="5"/>
      <c r="E24" s="5"/>
      <c r="F24" s="4" t="s">
        <v>9</v>
      </c>
      <c r="G24" s="5"/>
    </row>
    <row r="25" ht="15.75" customHeight="1">
      <c r="A25" s="1">
        <v>24.0</v>
      </c>
      <c r="B25" s="1" t="s">
        <v>16</v>
      </c>
      <c r="C25" s="4" t="s">
        <v>10</v>
      </c>
      <c r="D25" s="5"/>
      <c r="E25" s="5"/>
      <c r="F25" s="4" t="s">
        <v>9</v>
      </c>
      <c r="G25" s="5"/>
    </row>
    <row r="26" ht="15.75" customHeight="1">
      <c r="A26" s="1">
        <v>25.0</v>
      </c>
      <c r="B26" s="1" t="s">
        <v>23</v>
      </c>
      <c r="C26" s="4" t="s">
        <v>10</v>
      </c>
      <c r="D26" s="5"/>
      <c r="E26" s="5"/>
      <c r="F26" s="4" t="s">
        <v>9</v>
      </c>
      <c r="G26" s="5"/>
    </row>
    <row r="27" ht="15.75" customHeight="1">
      <c r="A27" s="1">
        <v>26.0</v>
      </c>
      <c r="B27" s="1" t="s">
        <v>36</v>
      </c>
      <c r="C27" s="4" t="s">
        <v>10</v>
      </c>
      <c r="D27" s="5"/>
      <c r="E27" s="5"/>
      <c r="F27" s="4" t="s">
        <v>9</v>
      </c>
      <c r="G27" s="5"/>
    </row>
    <row r="28" ht="15.75" customHeight="1">
      <c r="A28" s="1">
        <v>27.0</v>
      </c>
      <c r="B28" s="1" t="s">
        <v>13</v>
      </c>
      <c r="C28" s="4" t="s">
        <v>95</v>
      </c>
      <c r="D28" s="4" t="s">
        <v>65</v>
      </c>
      <c r="E28" s="4" t="s">
        <v>104</v>
      </c>
      <c r="F28" s="4" t="s">
        <v>14</v>
      </c>
      <c r="G28" s="4" t="s">
        <v>105</v>
      </c>
    </row>
    <row r="29" ht="15.75" customHeight="1">
      <c r="A29" s="1">
        <v>28.0</v>
      </c>
      <c r="B29" s="1" t="s">
        <v>18</v>
      </c>
      <c r="C29" s="4" t="s">
        <v>10</v>
      </c>
      <c r="D29" s="5"/>
      <c r="E29" s="5"/>
      <c r="F29" s="4" t="s">
        <v>9</v>
      </c>
      <c r="G29" s="5"/>
    </row>
    <row r="30" ht="15.75" customHeight="1">
      <c r="A30" s="1">
        <v>29.0</v>
      </c>
      <c r="B30" s="1" t="s">
        <v>62</v>
      </c>
      <c r="C30" s="4" t="s">
        <v>10</v>
      </c>
      <c r="D30" s="5"/>
      <c r="E30" s="5"/>
      <c r="F30" s="4" t="s">
        <v>9</v>
      </c>
      <c r="G30" s="5"/>
    </row>
    <row r="31" ht="15.75" customHeight="1">
      <c r="A31" s="1">
        <v>30.0</v>
      </c>
      <c r="B31" s="1" t="s">
        <v>50</v>
      </c>
      <c r="C31" s="4" t="s">
        <v>92</v>
      </c>
      <c r="D31" s="4" t="s">
        <v>65</v>
      </c>
      <c r="E31" s="4">
        <v>75.0</v>
      </c>
      <c r="F31" s="4" t="s">
        <v>6</v>
      </c>
      <c r="G31" s="5"/>
    </row>
    <row r="32" ht="15.75" customHeight="1">
      <c r="A32" s="1">
        <v>31.0</v>
      </c>
      <c r="B32" s="1" t="s">
        <v>52</v>
      </c>
      <c r="C32" s="4" t="s">
        <v>10</v>
      </c>
      <c r="D32" s="5"/>
      <c r="E32" s="5"/>
      <c r="F32" s="4" t="s">
        <v>9</v>
      </c>
      <c r="G32" s="5"/>
    </row>
    <row r="33" ht="15.75" customHeight="1">
      <c r="A33" s="1">
        <v>32.0</v>
      </c>
      <c r="B33" s="1" t="s">
        <v>75</v>
      </c>
      <c r="C33" s="4" t="s">
        <v>92</v>
      </c>
      <c r="D33" s="4" t="s">
        <v>77</v>
      </c>
      <c r="E33" s="4">
        <v>25.0</v>
      </c>
      <c r="F33" s="4" t="s">
        <v>6</v>
      </c>
      <c r="G33" s="5"/>
    </row>
    <row r="34" ht="15.75" customHeight="1">
      <c r="A34" s="1">
        <v>33.0</v>
      </c>
      <c r="B34" s="1" t="s">
        <v>90</v>
      </c>
      <c r="C34" s="4" t="s">
        <v>10</v>
      </c>
      <c r="D34" s="5"/>
      <c r="E34" s="5"/>
      <c r="F34" s="4" t="s">
        <v>9</v>
      </c>
      <c r="G34" s="5"/>
    </row>
    <row r="35" ht="15.75" customHeight="1">
      <c r="A35" s="1">
        <v>34.0</v>
      </c>
      <c r="B35" s="1" t="s">
        <v>26</v>
      </c>
      <c r="C35" s="4" t="s">
        <v>10</v>
      </c>
      <c r="D35" s="5"/>
      <c r="E35" s="5"/>
      <c r="F35" s="4" t="s">
        <v>9</v>
      </c>
      <c r="G35" s="5"/>
    </row>
    <row r="36" ht="15.75" customHeight="1">
      <c r="A36" s="1">
        <v>35.0</v>
      </c>
      <c r="B36" s="1" t="s">
        <v>28</v>
      </c>
      <c r="C36" s="4" t="s">
        <v>10</v>
      </c>
      <c r="D36" s="5"/>
      <c r="E36" s="5"/>
      <c r="F36" s="4" t="s">
        <v>9</v>
      </c>
      <c r="G36" s="5"/>
    </row>
    <row r="37" ht="15.75" customHeight="1">
      <c r="A37" s="1">
        <v>36.0</v>
      </c>
      <c r="B37" s="1" t="s">
        <v>80</v>
      </c>
      <c r="C37" s="4" t="s">
        <v>74</v>
      </c>
      <c r="D37" s="4" t="s">
        <v>77</v>
      </c>
      <c r="E37" s="4">
        <v>20.0</v>
      </c>
      <c r="F37" s="4" t="s">
        <v>6</v>
      </c>
      <c r="G37" s="5"/>
    </row>
    <row r="38" ht="15.75" customHeight="1">
      <c r="A38" s="1">
        <v>37.0</v>
      </c>
      <c r="B38" s="1" t="s">
        <v>93</v>
      </c>
      <c r="C38" s="4" t="s">
        <v>10</v>
      </c>
      <c r="D38" s="5"/>
      <c r="E38" s="5"/>
      <c r="F38" s="4" t="s">
        <v>9</v>
      </c>
      <c r="G38" s="5"/>
    </row>
    <row r="39" ht="15.75" customHeight="1">
      <c r="A39" s="1">
        <v>38.0</v>
      </c>
      <c r="B39" s="1" t="s">
        <v>73</v>
      </c>
      <c r="C39" s="4" t="s">
        <v>10</v>
      </c>
      <c r="D39" s="5"/>
      <c r="E39" s="5"/>
      <c r="F39" s="4" t="s">
        <v>9</v>
      </c>
      <c r="G39" s="5"/>
    </row>
    <row r="40" ht="15.75" customHeight="1">
      <c r="A40" s="1">
        <v>39.0</v>
      </c>
      <c r="B40" s="1" t="s">
        <v>86</v>
      </c>
      <c r="C40" s="4" t="s">
        <v>10</v>
      </c>
      <c r="D40" s="5"/>
      <c r="E40" s="5"/>
      <c r="F40" s="4" t="s">
        <v>9</v>
      </c>
      <c r="G40" s="5"/>
    </row>
    <row r="41" ht="15.75" customHeight="1">
      <c r="A41" s="1">
        <v>40.0</v>
      </c>
      <c r="B41" s="1" t="s">
        <v>71</v>
      </c>
      <c r="C41" s="4" t="s">
        <v>10</v>
      </c>
      <c r="D41" s="5"/>
      <c r="E41" s="5"/>
      <c r="F41" s="4" t="s">
        <v>9</v>
      </c>
      <c r="G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1">
      <formula1>"core,peripheral,core;peripheral"</formula1>
    </dataValidation>
    <dataValidation type="list" allowBlank="1" sqref="F2:F41">
      <formula1>"Pass,Warning,Fail"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34.0"/>
    <col customWidth="1" min="4" max="4" width="22.0"/>
    <col customWidth="1" min="5" max="5" width="14.0"/>
    <col customWidth="1" min="6" max="6" width="12.0"/>
    <col customWidth="1" min="7" max="7" width="30.0"/>
    <col customWidth="1" min="8" max="26" width="8.71"/>
  </cols>
  <sheetData>
    <row r="1">
      <c r="A1" s="2" t="s">
        <v>2</v>
      </c>
      <c r="B1" s="2" t="s">
        <v>0</v>
      </c>
      <c r="C1" s="2" t="s">
        <v>27</v>
      </c>
      <c r="D1" s="2" t="s">
        <v>29</v>
      </c>
      <c r="E1" s="2" t="s">
        <v>31</v>
      </c>
      <c r="F1" s="2" t="s">
        <v>33</v>
      </c>
      <c r="G1" s="2" t="s">
        <v>35</v>
      </c>
    </row>
    <row r="2">
      <c r="A2" s="1">
        <v>1.0</v>
      </c>
      <c r="B2" s="1" t="s">
        <v>54</v>
      </c>
      <c r="C2" s="4" t="s">
        <v>56</v>
      </c>
      <c r="D2" s="4"/>
      <c r="E2" s="4">
        <v>110.0</v>
      </c>
      <c r="F2" s="4" t="s">
        <v>6</v>
      </c>
      <c r="G2" s="4"/>
    </row>
    <row r="3">
      <c r="A3" s="1">
        <v>2.0</v>
      </c>
      <c r="B3" s="1" t="s">
        <v>19</v>
      </c>
      <c r="C3" s="4" t="s">
        <v>10</v>
      </c>
      <c r="D3" s="4"/>
      <c r="E3" s="4"/>
      <c r="F3" s="4" t="s">
        <v>9</v>
      </c>
      <c r="G3" s="5"/>
    </row>
    <row r="4">
      <c r="A4" s="1">
        <v>3.0</v>
      </c>
      <c r="B4" s="1" t="s">
        <v>78</v>
      </c>
      <c r="C4" s="4" t="s">
        <v>92</v>
      </c>
      <c r="D4" s="4" t="s">
        <v>65</v>
      </c>
      <c r="E4" s="4">
        <v>20.0</v>
      </c>
      <c r="F4" s="4" t="s">
        <v>6</v>
      </c>
      <c r="G4" s="5"/>
    </row>
    <row r="5">
      <c r="A5" s="1">
        <v>4.0</v>
      </c>
      <c r="B5" s="1" t="s">
        <v>28</v>
      </c>
      <c r="C5" s="4" t="s">
        <v>56</v>
      </c>
      <c r="D5" s="4" t="s">
        <v>77</v>
      </c>
      <c r="E5" s="4">
        <v>400.0</v>
      </c>
      <c r="F5" s="4" t="s">
        <v>6</v>
      </c>
      <c r="G5" s="5"/>
    </row>
    <row r="6">
      <c r="A6" s="1">
        <v>5.0</v>
      </c>
      <c r="B6" s="1" t="s">
        <v>84</v>
      </c>
      <c r="C6" s="4" t="s">
        <v>92</v>
      </c>
      <c r="D6" s="4" t="s">
        <v>65</v>
      </c>
      <c r="E6" s="4">
        <v>25.0</v>
      </c>
      <c r="F6" s="4" t="s">
        <v>6</v>
      </c>
      <c r="G6" s="5"/>
    </row>
    <row r="7">
      <c r="A7" s="1">
        <v>6.0</v>
      </c>
      <c r="B7" s="1" t="s">
        <v>90</v>
      </c>
      <c r="C7" s="4" t="s">
        <v>10</v>
      </c>
      <c r="D7" s="4"/>
      <c r="E7" s="4"/>
      <c r="F7" s="4" t="s">
        <v>9</v>
      </c>
      <c r="G7" s="5"/>
    </row>
    <row r="8">
      <c r="A8" s="1">
        <v>7.0</v>
      </c>
      <c r="B8" s="1" t="s">
        <v>16</v>
      </c>
      <c r="C8" s="4" t="s">
        <v>10</v>
      </c>
      <c r="D8" s="4"/>
      <c r="E8" s="4"/>
      <c r="F8" s="4" t="s">
        <v>9</v>
      </c>
      <c r="G8" s="5"/>
    </row>
    <row r="9">
      <c r="A9" s="1">
        <v>8.0</v>
      </c>
      <c r="B9" s="1" t="s">
        <v>64</v>
      </c>
      <c r="C9" s="4" t="s">
        <v>10</v>
      </c>
      <c r="D9" s="4"/>
      <c r="E9" s="4"/>
      <c r="F9" s="4" t="s">
        <v>9</v>
      </c>
      <c r="G9" s="5"/>
    </row>
    <row r="10">
      <c r="A10" s="1">
        <v>9.0</v>
      </c>
      <c r="B10" s="1" t="s">
        <v>68</v>
      </c>
      <c r="C10" s="4" t="s">
        <v>10</v>
      </c>
      <c r="D10" s="4"/>
      <c r="E10" s="4"/>
      <c r="F10" s="4" t="s">
        <v>9</v>
      </c>
      <c r="G10" s="5"/>
    </row>
    <row r="11">
      <c r="A11" s="1">
        <v>10.0</v>
      </c>
      <c r="B11" s="1" t="s">
        <v>86</v>
      </c>
      <c r="C11" s="4" t="s">
        <v>10</v>
      </c>
      <c r="D11" s="4"/>
      <c r="E11" s="4"/>
      <c r="F11" s="4" t="s">
        <v>9</v>
      </c>
      <c r="G11" s="5"/>
    </row>
    <row r="12">
      <c r="A12" s="1">
        <v>11.0</v>
      </c>
      <c r="B12" s="1" t="s">
        <v>62</v>
      </c>
      <c r="C12" s="4" t="s">
        <v>10</v>
      </c>
      <c r="D12" s="4"/>
      <c r="E12" s="4"/>
      <c r="F12" s="4" t="s">
        <v>9</v>
      </c>
      <c r="G12" s="5"/>
    </row>
    <row r="13">
      <c r="A13" s="1">
        <v>12.0</v>
      </c>
      <c r="B13" s="1" t="s">
        <v>41</v>
      </c>
      <c r="C13" s="4" t="s">
        <v>10</v>
      </c>
      <c r="D13" s="4"/>
      <c r="E13" s="4"/>
      <c r="F13" s="4" t="s">
        <v>9</v>
      </c>
      <c r="G13" s="5"/>
    </row>
    <row r="14">
      <c r="A14" s="1">
        <v>13.0</v>
      </c>
      <c r="B14" s="1" t="s">
        <v>60</v>
      </c>
      <c r="C14" s="4" t="s">
        <v>56</v>
      </c>
      <c r="D14" s="4" t="s">
        <v>77</v>
      </c>
      <c r="E14" s="4">
        <v>452.0</v>
      </c>
      <c r="F14" s="4" t="s">
        <v>6</v>
      </c>
      <c r="G14" s="5"/>
    </row>
    <row r="15">
      <c r="A15" s="1">
        <v>14.0</v>
      </c>
      <c r="B15" s="1" t="s">
        <v>11</v>
      </c>
      <c r="C15" s="4" t="s">
        <v>10</v>
      </c>
      <c r="D15" s="4"/>
      <c r="E15" s="4"/>
      <c r="F15" s="4" t="s">
        <v>9</v>
      </c>
      <c r="G15" s="5"/>
    </row>
    <row r="16">
      <c r="A16" s="1">
        <v>15.0</v>
      </c>
      <c r="B16" s="1" t="s">
        <v>13</v>
      </c>
      <c r="C16" s="4" t="s">
        <v>95</v>
      </c>
      <c r="D16" s="4" t="s">
        <v>65</v>
      </c>
      <c r="E16" s="4" t="s">
        <v>96</v>
      </c>
      <c r="F16" s="4" t="s">
        <v>14</v>
      </c>
      <c r="G16" s="5"/>
    </row>
    <row r="17">
      <c r="A17" s="1">
        <v>16.0</v>
      </c>
      <c r="B17" s="1" t="s">
        <v>82</v>
      </c>
      <c r="C17" s="4" t="s">
        <v>94</v>
      </c>
      <c r="D17" s="4"/>
      <c r="E17" s="4"/>
      <c r="F17" s="4" t="s">
        <v>14</v>
      </c>
      <c r="G17" s="5"/>
    </row>
    <row r="18">
      <c r="A18" s="1">
        <v>17.0</v>
      </c>
      <c r="B18" s="1" t="s">
        <v>23</v>
      </c>
      <c r="C18" s="4" t="s">
        <v>10</v>
      </c>
      <c r="D18" s="4"/>
      <c r="E18" s="4"/>
      <c r="F18" s="4" t="s">
        <v>9</v>
      </c>
      <c r="G18" s="5"/>
    </row>
    <row r="19">
      <c r="A19" s="1">
        <v>18.0</v>
      </c>
      <c r="B19" s="1" t="s">
        <v>75</v>
      </c>
      <c r="C19" s="4" t="s">
        <v>10</v>
      </c>
      <c r="D19" s="4"/>
      <c r="E19" s="4"/>
      <c r="F19" s="4" t="s">
        <v>9</v>
      </c>
      <c r="G19" s="5"/>
    </row>
    <row r="20">
      <c r="A20" s="1">
        <v>19.0</v>
      </c>
      <c r="B20" s="1" t="s">
        <v>52</v>
      </c>
      <c r="C20" s="4" t="s">
        <v>10</v>
      </c>
      <c r="D20" s="4"/>
      <c r="E20" s="4"/>
      <c r="F20" s="4" t="s">
        <v>9</v>
      </c>
      <c r="G20" s="5"/>
    </row>
    <row r="21" ht="15.75" customHeight="1">
      <c r="A21" s="1">
        <v>20.0</v>
      </c>
      <c r="B21" s="1" t="s">
        <v>5</v>
      </c>
      <c r="C21" s="4" t="s">
        <v>56</v>
      </c>
      <c r="D21" s="4" t="s">
        <v>77</v>
      </c>
      <c r="E21" s="4">
        <v>150.0</v>
      </c>
      <c r="F21" s="4" t="s">
        <v>6</v>
      </c>
      <c r="G21" s="5"/>
    </row>
    <row r="22" ht="15.75" customHeight="1">
      <c r="A22" s="1">
        <v>21.0</v>
      </c>
      <c r="B22" s="1" t="s">
        <v>38</v>
      </c>
      <c r="C22" s="4" t="s">
        <v>44</v>
      </c>
      <c r="D22" s="4" t="s">
        <v>65</v>
      </c>
      <c r="E22" s="4" t="s">
        <v>97</v>
      </c>
      <c r="F22" s="4" t="s">
        <v>6</v>
      </c>
      <c r="G22" s="5"/>
    </row>
    <row r="23" ht="15.75" customHeight="1">
      <c r="A23" s="1">
        <v>22.0</v>
      </c>
      <c r="B23" s="1" t="s">
        <v>73</v>
      </c>
      <c r="C23" s="4" t="s">
        <v>10</v>
      </c>
      <c r="D23" s="4"/>
      <c r="E23" s="4"/>
      <c r="F23" s="4" t="s">
        <v>9</v>
      </c>
      <c r="G23" s="5"/>
    </row>
    <row r="24" ht="15.75" customHeight="1">
      <c r="A24" s="1">
        <v>23.0</v>
      </c>
      <c r="B24" s="1" t="s">
        <v>32</v>
      </c>
      <c r="C24" s="4" t="s">
        <v>56</v>
      </c>
      <c r="D24" s="4" t="s">
        <v>65</v>
      </c>
      <c r="E24" s="4">
        <v>55.0</v>
      </c>
      <c r="F24" s="4" t="s">
        <v>6</v>
      </c>
      <c r="G24" s="5"/>
    </row>
    <row r="25" ht="15.75" customHeight="1">
      <c r="A25" s="1">
        <v>24.0</v>
      </c>
      <c r="B25" s="1" t="s">
        <v>58</v>
      </c>
      <c r="C25" s="4" t="s">
        <v>10</v>
      </c>
      <c r="D25" s="4"/>
      <c r="E25" s="4"/>
      <c r="F25" s="4" t="s">
        <v>9</v>
      </c>
      <c r="G25" s="5"/>
    </row>
    <row r="26" ht="15.75" customHeight="1">
      <c r="A26" s="1">
        <v>25.0</v>
      </c>
      <c r="B26" s="1" t="s">
        <v>53</v>
      </c>
      <c r="C26" s="4" t="s">
        <v>10</v>
      </c>
      <c r="D26" s="4"/>
      <c r="E26" s="4"/>
      <c r="F26" s="4" t="s">
        <v>9</v>
      </c>
      <c r="G26" s="5"/>
    </row>
    <row r="27" ht="15.75" customHeight="1">
      <c r="A27" s="1">
        <v>26.0</v>
      </c>
      <c r="B27" s="1" t="s">
        <v>43</v>
      </c>
      <c r="C27" s="4" t="s">
        <v>74</v>
      </c>
      <c r="D27" s="4" t="s">
        <v>77</v>
      </c>
      <c r="E27" s="4">
        <v>140.0</v>
      </c>
      <c r="F27" s="4" t="s">
        <v>14</v>
      </c>
      <c r="G27" s="5"/>
    </row>
    <row r="28" ht="15.75" customHeight="1">
      <c r="A28" s="1">
        <v>27.0</v>
      </c>
      <c r="B28" s="1" t="s">
        <v>80</v>
      </c>
      <c r="C28" s="4" t="s">
        <v>74</v>
      </c>
      <c r="D28" s="4" t="s">
        <v>77</v>
      </c>
      <c r="E28" s="4">
        <v>15.0</v>
      </c>
      <c r="F28" s="4" t="s">
        <v>14</v>
      </c>
      <c r="G28" s="4"/>
    </row>
    <row r="29" ht="15.75" customHeight="1">
      <c r="A29" s="1">
        <v>28.0</v>
      </c>
      <c r="B29" s="1" t="s">
        <v>50</v>
      </c>
      <c r="C29" s="4" t="s">
        <v>92</v>
      </c>
      <c r="D29" s="4" t="s">
        <v>65</v>
      </c>
      <c r="E29" s="4">
        <v>50.0</v>
      </c>
      <c r="F29" s="4" t="s">
        <v>6</v>
      </c>
      <c r="G29" s="5"/>
    </row>
    <row r="30" ht="15.75" customHeight="1">
      <c r="A30" s="1">
        <v>29.0</v>
      </c>
      <c r="B30" s="1" t="s">
        <v>25</v>
      </c>
      <c r="C30" s="4" t="s">
        <v>10</v>
      </c>
      <c r="D30" s="4"/>
      <c r="E30" s="4"/>
      <c r="F30" s="4" t="s">
        <v>9</v>
      </c>
      <c r="G30" s="5"/>
    </row>
    <row r="31" ht="15.75" customHeight="1">
      <c r="A31" s="1">
        <v>30.0</v>
      </c>
      <c r="B31" s="1" t="s">
        <v>88</v>
      </c>
      <c r="C31" s="4" t="s">
        <v>74</v>
      </c>
      <c r="D31" s="4" t="s">
        <v>77</v>
      </c>
      <c r="E31" s="4">
        <v>25.0</v>
      </c>
      <c r="F31" s="4" t="s">
        <v>14</v>
      </c>
      <c r="G31" s="5"/>
    </row>
    <row r="32" ht="15.75" customHeight="1">
      <c r="A32" s="1">
        <v>31.0</v>
      </c>
      <c r="B32" s="1" t="s">
        <v>93</v>
      </c>
      <c r="C32" s="4" t="s">
        <v>92</v>
      </c>
      <c r="D32" s="4" t="s">
        <v>77</v>
      </c>
      <c r="E32" s="4">
        <v>25.0</v>
      </c>
      <c r="F32" s="4" t="s">
        <v>6</v>
      </c>
      <c r="G32" s="5"/>
    </row>
    <row r="33" ht="15.75" customHeight="1">
      <c r="A33" s="1">
        <v>32.0</v>
      </c>
      <c r="B33" s="1" t="s">
        <v>36</v>
      </c>
      <c r="C33" s="4" t="s">
        <v>10</v>
      </c>
      <c r="D33" s="4"/>
      <c r="E33" s="4"/>
      <c r="F33" s="4" t="s">
        <v>9</v>
      </c>
      <c r="G33" s="5"/>
    </row>
    <row r="34" ht="15.75" customHeight="1">
      <c r="A34" s="1">
        <v>33.0</v>
      </c>
      <c r="B34" s="1" t="s">
        <v>18</v>
      </c>
      <c r="C34" s="4" t="s">
        <v>10</v>
      </c>
      <c r="D34" s="4"/>
      <c r="E34" s="4"/>
      <c r="F34" s="4" t="s">
        <v>9</v>
      </c>
      <c r="G34" s="5"/>
    </row>
    <row r="35" ht="15.75" customHeight="1">
      <c r="A35" s="1">
        <v>34.0</v>
      </c>
      <c r="B35" s="1" t="s">
        <v>55</v>
      </c>
      <c r="C35" s="4" t="s">
        <v>74</v>
      </c>
      <c r="D35" s="4" t="s">
        <v>77</v>
      </c>
      <c r="E35" s="4">
        <v>90.0</v>
      </c>
      <c r="F35" s="4" t="s">
        <v>14</v>
      </c>
      <c r="G35" s="5"/>
    </row>
    <row r="36" ht="15.75" customHeight="1">
      <c r="A36" s="1">
        <v>35.0</v>
      </c>
      <c r="B36" s="1" t="s">
        <v>20</v>
      </c>
      <c r="C36" s="4" t="s">
        <v>74</v>
      </c>
      <c r="D36" s="4" t="s">
        <v>77</v>
      </c>
      <c r="E36" s="4">
        <v>10.0</v>
      </c>
      <c r="F36" s="4" t="s">
        <v>14</v>
      </c>
      <c r="G36" s="5"/>
    </row>
    <row r="37" ht="15.75" customHeight="1">
      <c r="A37" s="1">
        <v>36.0</v>
      </c>
      <c r="B37" s="1" t="s">
        <v>26</v>
      </c>
      <c r="C37" s="4" t="s">
        <v>10</v>
      </c>
      <c r="D37" s="4"/>
      <c r="E37" s="4"/>
      <c r="F37" s="4" t="s">
        <v>9</v>
      </c>
      <c r="G37" s="5"/>
    </row>
    <row r="38" ht="15.75" customHeight="1">
      <c r="A38" s="1">
        <v>37.0</v>
      </c>
      <c r="B38" s="1" t="s">
        <v>71</v>
      </c>
      <c r="C38" s="4" t="s">
        <v>10</v>
      </c>
      <c r="D38" s="4"/>
      <c r="E38" s="4"/>
      <c r="F38" s="4" t="s">
        <v>9</v>
      </c>
      <c r="G38" s="5"/>
    </row>
    <row r="39" ht="15.75" customHeight="1">
      <c r="A39" s="1">
        <v>38.0</v>
      </c>
      <c r="B39" s="1" t="s">
        <v>8</v>
      </c>
      <c r="C39" s="4" t="s">
        <v>10</v>
      </c>
      <c r="D39" s="4"/>
      <c r="E39" s="4"/>
      <c r="F39" s="4" t="s">
        <v>9</v>
      </c>
      <c r="G39" s="5"/>
    </row>
    <row r="40" ht="15.75" customHeight="1">
      <c r="A40" s="1">
        <v>39.0</v>
      </c>
      <c r="B40" s="1" t="s">
        <v>37</v>
      </c>
      <c r="C40" s="4" t="s">
        <v>10</v>
      </c>
      <c r="D40" s="4"/>
      <c r="E40" s="4"/>
      <c r="F40" s="4" t="s">
        <v>9</v>
      </c>
      <c r="G40" s="5"/>
    </row>
    <row r="41" ht="15.75" customHeight="1">
      <c r="A41" s="1">
        <v>40.0</v>
      </c>
      <c r="B41" s="1" t="s">
        <v>22</v>
      </c>
      <c r="C41" s="4" t="s">
        <v>10</v>
      </c>
      <c r="D41" s="4"/>
      <c r="E41" s="4"/>
      <c r="F41" s="4" t="s">
        <v>9</v>
      </c>
      <c r="G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1">
      <formula1>"core,peripheral,core;peripheral"</formula1>
    </dataValidation>
    <dataValidation type="list" allowBlank="1" sqref="F2:F41">
      <formula1>"Pass,Warning,Fail"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70.0"/>
    <col customWidth="1" min="4" max="26" width="8.71"/>
  </cols>
  <sheetData>
    <row r="1">
      <c r="A1" s="1" t="s">
        <v>0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11</v>
      </c>
      <c r="B4" s="1" t="s">
        <v>9</v>
      </c>
      <c r="C4" s="1" t="s">
        <v>12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16</v>
      </c>
      <c r="B6" s="1" t="s">
        <v>6</v>
      </c>
      <c r="C6" s="1" t="s">
        <v>17</v>
      </c>
    </row>
    <row r="7">
      <c r="A7" s="1" t="s">
        <v>18</v>
      </c>
      <c r="B7" s="1" t="s">
        <v>9</v>
      </c>
      <c r="C7" s="1" t="s">
        <v>10</v>
      </c>
    </row>
    <row r="8">
      <c r="A8" s="1" t="s">
        <v>19</v>
      </c>
      <c r="B8" s="1" t="s">
        <v>9</v>
      </c>
      <c r="C8" s="1" t="s">
        <v>10</v>
      </c>
    </row>
    <row r="9">
      <c r="A9" s="1" t="s">
        <v>20</v>
      </c>
      <c r="B9" s="1" t="s">
        <v>6</v>
      </c>
      <c r="C9" s="1" t="s">
        <v>21</v>
      </c>
    </row>
    <row r="10">
      <c r="A10" s="1" t="s">
        <v>22</v>
      </c>
      <c r="B10" s="1" t="s">
        <v>9</v>
      </c>
      <c r="C10" s="1" t="s">
        <v>10</v>
      </c>
    </row>
    <row r="11">
      <c r="A11" s="1" t="s">
        <v>23</v>
      </c>
      <c r="B11" s="1" t="s">
        <v>9</v>
      </c>
      <c r="C11" s="1" t="s">
        <v>24</v>
      </c>
    </row>
    <row r="12">
      <c r="A12" s="1" t="s">
        <v>25</v>
      </c>
      <c r="B12" s="1" t="s">
        <v>9</v>
      </c>
      <c r="C12" s="1" t="s">
        <v>10</v>
      </c>
    </row>
    <row r="13">
      <c r="A13" s="1" t="s">
        <v>26</v>
      </c>
      <c r="B13" s="1" t="s">
        <v>9</v>
      </c>
      <c r="C13" s="1" t="s">
        <v>10</v>
      </c>
    </row>
    <row r="14">
      <c r="A14" s="1" t="s">
        <v>28</v>
      </c>
      <c r="B14" s="1" t="s">
        <v>6</v>
      </c>
      <c r="C14" s="1" t="s">
        <v>30</v>
      </c>
    </row>
    <row r="15">
      <c r="A15" s="1" t="s">
        <v>32</v>
      </c>
      <c r="B15" s="1" t="s">
        <v>9</v>
      </c>
      <c r="C15" s="1" t="s">
        <v>34</v>
      </c>
    </row>
    <row r="16">
      <c r="A16" s="1" t="s">
        <v>36</v>
      </c>
      <c r="B16" s="1" t="s">
        <v>9</v>
      </c>
      <c r="C16" s="1" t="s">
        <v>10</v>
      </c>
    </row>
    <row r="17">
      <c r="A17" s="1" t="s">
        <v>37</v>
      </c>
      <c r="B17" s="1" t="s">
        <v>14</v>
      </c>
      <c r="C17" s="1" t="s">
        <v>39</v>
      </c>
    </row>
    <row r="18">
      <c r="A18" s="1" t="s">
        <v>41</v>
      </c>
      <c r="B18" s="1" t="s">
        <v>9</v>
      </c>
      <c r="C18" s="1" t="s">
        <v>10</v>
      </c>
    </row>
    <row r="19">
      <c r="A19" s="1" t="s">
        <v>43</v>
      </c>
      <c r="B19" s="1" t="s">
        <v>14</v>
      </c>
      <c r="C19" s="1" t="s">
        <v>46</v>
      </c>
    </row>
    <row r="20">
      <c r="A20" s="1" t="s">
        <v>38</v>
      </c>
      <c r="B20" s="1" t="s">
        <v>6</v>
      </c>
      <c r="C20" s="1" t="s">
        <v>49</v>
      </c>
    </row>
    <row r="21" ht="15.75" customHeight="1">
      <c r="A21" s="1" t="s">
        <v>50</v>
      </c>
      <c r="B21" s="1" t="s">
        <v>14</v>
      </c>
      <c r="C21" s="1" t="s">
        <v>51</v>
      </c>
    </row>
    <row r="22" ht="15.75" customHeight="1">
      <c r="A22" s="1" t="s">
        <v>52</v>
      </c>
      <c r="B22" s="1" t="s">
        <v>9</v>
      </c>
      <c r="C22" s="1" t="s">
        <v>10</v>
      </c>
    </row>
    <row r="23" ht="15.75" customHeight="1">
      <c r="A23" s="1" t="s">
        <v>53</v>
      </c>
      <c r="B23" s="1" t="s">
        <v>9</v>
      </c>
      <c r="C23" s="1" t="s">
        <v>10</v>
      </c>
    </row>
    <row r="24" ht="15.75" customHeight="1">
      <c r="A24" s="1" t="s">
        <v>55</v>
      </c>
      <c r="B24" s="1" t="s">
        <v>14</v>
      </c>
      <c r="C24" s="1" t="s">
        <v>57</v>
      </c>
    </row>
    <row r="25" ht="15.75" customHeight="1">
      <c r="A25" s="1" t="s">
        <v>58</v>
      </c>
      <c r="B25" s="1" t="s">
        <v>9</v>
      </c>
      <c r="C25" s="1" t="s">
        <v>59</v>
      </c>
    </row>
    <row r="26" ht="15.75" customHeight="1">
      <c r="A26" s="1" t="s">
        <v>60</v>
      </c>
      <c r="B26" s="1" t="s">
        <v>14</v>
      </c>
      <c r="C26" s="1" t="s">
        <v>61</v>
      </c>
    </row>
    <row r="27" ht="15.75" customHeight="1">
      <c r="A27" s="1" t="s">
        <v>62</v>
      </c>
      <c r="B27" s="1" t="s">
        <v>9</v>
      </c>
      <c r="C27" s="1" t="s">
        <v>63</v>
      </c>
    </row>
    <row r="28" ht="15.75" customHeight="1">
      <c r="A28" s="1" t="s">
        <v>64</v>
      </c>
      <c r="B28" s="1" t="s">
        <v>9</v>
      </c>
      <c r="C28" s="1" t="s">
        <v>67</v>
      </c>
    </row>
    <row r="29" ht="15.75" customHeight="1">
      <c r="A29" s="1" t="s">
        <v>68</v>
      </c>
      <c r="B29" s="1" t="s">
        <v>6</v>
      </c>
      <c r="C29" s="1" t="s">
        <v>69</v>
      </c>
    </row>
    <row r="30" ht="15.75" customHeight="1">
      <c r="A30" s="1" t="s">
        <v>71</v>
      </c>
      <c r="B30" s="1" t="s">
        <v>9</v>
      </c>
      <c r="C30" s="1" t="s">
        <v>72</v>
      </c>
    </row>
    <row r="31" ht="15.75" customHeight="1">
      <c r="A31" s="1" t="s">
        <v>73</v>
      </c>
      <c r="B31" s="1" t="s">
        <v>9</v>
      </c>
      <c r="C31" s="1" t="s">
        <v>10</v>
      </c>
    </row>
    <row r="32" ht="15.75" customHeight="1">
      <c r="A32" s="1" t="s">
        <v>75</v>
      </c>
      <c r="B32" s="1" t="s">
        <v>9</v>
      </c>
      <c r="C32" s="1" t="s">
        <v>76</v>
      </c>
    </row>
    <row r="33" ht="15.75" customHeight="1">
      <c r="A33" s="1" t="s">
        <v>78</v>
      </c>
      <c r="B33" s="1" t="s">
        <v>9</v>
      </c>
      <c r="C33" s="1" t="s">
        <v>79</v>
      </c>
    </row>
    <row r="34" ht="15.75" customHeight="1">
      <c r="A34" s="1" t="s">
        <v>80</v>
      </c>
      <c r="B34" s="1" t="s">
        <v>6</v>
      </c>
      <c r="C34" s="1" t="s">
        <v>81</v>
      </c>
    </row>
    <row r="35" ht="15.75" customHeight="1">
      <c r="A35" s="1" t="s">
        <v>82</v>
      </c>
      <c r="B35" s="1" t="s">
        <v>14</v>
      </c>
      <c r="C35" s="1" t="s">
        <v>83</v>
      </c>
    </row>
    <row r="36" ht="15.75" customHeight="1">
      <c r="A36" s="1" t="s">
        <v>84</v>
      </c>
      <c r="B36" s="1" t="s">
        <v>6</v>
      </c>
      <c r="C36" s="1" t="s">
        <v>85</v>
      </c>
    </row>
    <row r="37" ht="15.75" customHeight="1">
      <c r="A37" s="1" t="s">
        <v>86</v>
      </c>
      <c r="B37" s="1" t="s">
        <v>9</v>
      </c>
      <c r="C37" s="1" t="s">
        <v>10</v>
      </c>
    </row>
    <row r="38" ht="15.75" customHeight="1">
      <c r="A38" s="1" t="s">
        <v>54</v>
      </c>
      <c r="B38" s="1" t="s">
        <v>6</v>
      </c>
      <c r="C38" s="1" t="s">
        <v>87</v>
      </c>
    </row>
    <row r="39" ht="15.75" customHeight="1">
      <c r="A39" s="1" t="s">
        <v>88</v>
      </c>
      <c r="B39" s="1" t="s">
        <v>14</v>
      </c>
      <c r="C39" s="1" t="s">
        <v>89</v>
      </c>
    </row>
    <row r="40" ht="15.75" customHeight="1">
      <c r="A40" s="1" t="s">
        <v>90</v>
      </c>
      <c r="B40" s="1" t="s">
        <v>14</v>
      </c>
      <c r="C40" s="1" t="s">
        <v>91</v>
      </c>
    </row>
    <row r="41" ht="15.75" customHeight="1">
      <c r="A41" s="1" t="s">
        <v>93</v>
      </c>
      <c r="B41" s="1" t="s">
        <v>9</v>
      </c>
      <c r="C41" s="1" t="s">
        <v>10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3" width="12.0"/>
    <col customWidth="1" min="4" max="4" width="14.0"/>
    <col customWidth="1" min="5" max="5" width="12.0"/>
    <col customWidth="1" min="6" max="7" width="14.0"/>
    <col customWidth="1" min="8" max="26" width="8.71"/>
  </cols>
  <sheetData>
    <row r="1">
      <c r="A1" s="2" t="s">
        <v>0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</row>
    <row r="2">
      <c r="A2" s="1" t="s">
        <v>5</v>
      </c>
      <c r="B2" s="1" t="str">
        <f t="array" ref="B2">IFERROR(IF(INDEX('第1輪'!$F$2:$F$41,MATCH(A2,'第1輪'!$B$2:$B$41,0))="","",INDEX('第1輪'!$F$2:$F$41,MATCH(A2,'第1輪'!$B$2:$B$41,0))),"")</f>
        <v>Warning</v>
      </c>
      <c r="C2" s="1" t="str">
        <f t="array" ref="C2">IFERROR(IF(INDEX('第2輪'!$F$2:$F$41,MATCH(A2,'第2輪'!$B$2:$B$41,0))="","",INDEX('第2輪'!$F$2:$F$41,MATCH(A2,'第2輪'!$B$2:$B$41,0))),"")</f>
        <v>Warning</v>
      </c>
      <c r="D2" s="1">
        <f t="shared" ref="D2:D41" si="1">IF(OR(B2="",C2=""),"",IF(B2=C2,1,0))</f>
        <v>1</v>
      </c>
      <c r="E2" s="1" t="str">
        <f t="array" ref="E2">IFERROR(INDEX('標準答案'!$B$2:$B$41,MATCH(A2,'標準答案'!$A$2:$A$41,0)),"")</f>
        <v>Warning</v>
      </c>
      <c r="F2" s="1">
        <f t="shared" ref="F2:F41" si="2">IF(B2="","",IF(B2=E2,1,0))</f>
        <v>1</v>
      </c>
      <c r="G2" s="1">
        <f t="shared" ref="G2:G41" si="3">IF(C2="","",IF(C2=E2,1,0))</f>
        <v>1</v>
      </c>
    </row>
    <row r="3">
      <c r="A3" s="1" t="s">
        <v>8</v>
      </c>
      <c r="B3" s="1" t="str">
        <f t="array" ref="B3">IFERROR(IF(INDEX('第1輪'!$F$2:$F$41,MATCH(A3,'第1輪'!$B$2:$B$41,0))="","",INDEX('第1輪'!$F$2:$F$41,MATCH(A3,'第1輪'!$B$2:$B$41,0))),"")</f>
        <v>Pass</v>
      </c>
      <c r="C3" s="1" t="str">
        <f t="array" ref="C3">IFERROR(IF(INDEX('第2輪'!$F$2:$F$41,MATCH(A3,'第2輪'!$B$2:$B$41,0))="","",INDEX('第2輪'!$F$2:$F$41,MATCH(A3,'第2輪'!$B$2:$B$41,0))),"")</f>
        <v>Pass</v>
      </c>
      <c r="D3" s="1">
        <f t="shared" si="1"/>
        <v>1</v>
      </c>
      <c r="E3" s="1" t="str">
        <f t="array" ref="E3">IFERROR(INDEX('標準答案'!$B$2:$B$41,MATCH(A3,'標準答案'!$A$2:$A$41,0)),"")</f>
        <v>Pass</v>
      </c>
      <c r="F3" s="1">
        <f t="shared" si="2"/>
        <v>1</v>
      </c>
      <c r="G3" s="1">
        <f t="shared" si="3"/>
        <v>1</v>
      </c>
    </row>
    <row r="4">
      <c r="A4" s="1" t="s">
        <v>11</v>
      </c>
      <c r="B4" s="1" t="str">
        <f t="array" ref="B4">IFERROR(IF(INDEX('第1輪'!$F$2:$F$41,MATCH(A4,'第1輪'!$B$2:$B$41,0))="","",INDEX('第1輪'!$F$2:$F$41,MATCH(A4,'第1輪'!$B$2:$B$41,0))),"")</f>
        <v>Pass</v>
      </c>
      <c r="C4" s="1" t="str">
        <f t="array" ref="C4">IFERROR(IF(INDEX('第2輪'!$F$2:$F$41,MATCH(A4,'第2輪'!$B$2:$B$41,0))="","",INDEX('第2輪'!$F$2:$F$41,MATCH(A4,'第2輪'!$B$2:$B$41,0))),"")</f>
        <v>Pass</v>
      </c>
      <c r="D4" s="1">
        <f t="shared" si="1"/>
        <v>1</v>
      </c>
      <c r="E4" s="1" t="str">
        <f t="array" ref="E4">IFERROR(INDEX('標準答案'!$B$2:$B$41,MATCH(A4,'標準答案'!$A$2:$A$41,0)),"")</f>
        <v>Pass</v>
      </c>
      <c r="F4" s="1">
        <f t="shared" si="2"/>
        <v>1</v>
      </c>
      <c r="G4" s="1">
        <f t="shared" si="3"/>
        <v>1</v>
      </c>
    </row>
    <row r="5">
      <c r="A5" s="1" t="s">
        <v>13</v>
      </c>
      <c r="B5" s="1" t="str">
        <f t="array" ref="B5">IFERROR(IF(INDEX('第1輪'!$F$2:$F$41,MATCH(A5,'第1輪'!$B$2:$B$41,0))="","",INDEX('第1輪'!$F$2:$F$41,MATCH(A5,'第1輪'!$B$2:$B$41,0))),"")</f>
        <v>Fail</v>
      </c>
      <c r="C5" s="1" t="str">
        <f t="array" ref="C5">IFERROR(IF(INDEX('第2輪'!$F$2:$F$41,MATCH(A5,'第2輪'!$B$2:$B$41,0))="","",INDEX('第2輪'!$F$2:$F$41,MATCH(A5,'第2輪'!$B$2:$B$41,0))),"")</f>
        <v>Fail</v>
      </c>
      <c r="D5" s="1">
        <f t="shared" si="1"/>
        <v>1</v>
      </c>
      <c r="E5" s="1" t="str">
        <f t="array" ref="E5">IFERROR(INDEX('標準答案'!$B$2:$B$41,MATCH(A5,'標準答案'!$A$2:$A$41,0)),"")</f>
        <v>Fail</v>
      </c>
      <c r="F5" s="1">
        <f t="shared" si="2"/>
        <v>1</v>
      </c>
      <c r="G5" s="1">
        <f t="shared" si="3"/>
        <v>1</v>
      </c>
    </row>
    <row r="6">
      <c r="A6" s="1" t="s">
        <v>16</v>
      </c>
      <c r="B6" s="1" t="str">
        <f t="array" ref="B6">IFERROR(IF(INDEX('第1輪'!$F$2:$F$41,MATCH(A6,'第1輪'!$B$2:$B$41,0))="","",INDEX('第1輪'!$F$2:$F$41,MATCH(A6,'第1輪'!$B$2:$B$41,0))),"")</f>
        <v>Pass</v>
      </c>
      <c r="C6" s="1" t="str">
        <f t="array" ref="C6">IFERROR(IF(INDEX('第2輪'!$F$2:$F$41,MATCH(A6,'第2輪'!$B$2:$B$41,0))="","",INDEX('第2輪'!$F$2:$F$41,MATCH(A6,'第2輪'!$B$2:$B$41,0))),"")</f>
        <v>Pass</v>
      </c>
      <c r="D6" s="1">
        <f t="shared" si="1"/>
        <v>1</v>
      </c>
      <c r="E6" s="1" t="str">
        <f t="array" ref="E6">IFERROR(INDEX('標準答案'!$B$2:$B$41,MATCH(A6,'標準答案'!$A$2:$A$41,0)),"")</f>
        <v>Warning</v>
      </c>
      <c r="F6" s="1">
        <f t="shared" si="2"/>
        <v>0</v>
      </c>
      <c r="G6" s="1">
        <f t="shared" si="3"/>
        <v>0</v>
      </c>
    </row>
    <row r="7">
      <c r="A7" s="1" t="s">
        <v>18</v>
      </c>
      <c r="B7" s="1" t="str">
        <f t="array" ref="B7">IFERROR(IF(INDEX('第1輪'!$F$2:$F$41,MATCH(A7,'第1輪'!$B$2:$B$41,0))="","",INDEX('第1輪'!$F$2:$F$41,MATCH(A7,'第1輪'!$B$2:$B$41,0))),"")</f>
        <v>Pass</v>
      </c>
      <c r="C7" s="1" t="str">
        <f t="array" ref="C7">IFERROR(IF(INDEX('第2輪'!$F$2:$F$41,MATCH(A7,'第2輪'!$B$2:$B$41,0))="","",INDEX('第2輪'!$F$2:$F$41,MATCH(A7,'第2輪'!$B$2:$B$41,0))),"")</f>
        <v>Pass</v>
      </c>
      <c r="D7" s="1">
        <f t="shared" si="1"/>
        <v>1</v>
      </c>
      <c r="E7" s="1" t="str">
        <f t="array" ref="E7">IFERROR(INDEX('標準答案'!$B$2:$B$41,MATCH(A7,'標準答案'!$A$2:$A$41,0)),"")</f>
        <v>Pass</v>
      </c>
      <c r="F7" s="1">
        <f t="shared" si="2"/>
        <v>1</v>
      </c>
      <c r="G7" s="1">
        <f t="shared" si="3"/>
        <v>1</v>
      </c>
    </row>
    <row r="8">
      <c r="A8" s="1" t="s">
        <v>19</v>
      </c>
      <c r="B8" s="1" t="str">
        <f t="array" ref="B8">IFERROR(IF(INDEX('第1輪'!$F$2:$F$41,MATCH(A8,'第1輪'!$B$2:$B$41,0))="","",INDEX('第1輪'!$F$2:$F$41,MATCH(A8,'第1輪'!$B$2:$B$41,0))),"")</f>
        <v>Pass</v>
      </c>
      <c r="C8" s="1" t="str">
        <f t="array" ref="C8">IFERROR(IF(INDEX('第2輪'!$F$2:$F$41,MATCH(A8,'第2輪'!$B$2:$B$41,0))="","",INDEX('第2輪'!$F$2:$F$41,MATCH(A8,'第2輪'!$B$2:$B$41,0))),"")</f>
        <v>Pass</v>
      </c>
      <c r="D8" s="1">
        <f t="shared" si="1"/>
        <v>1</v>
      </c>
      <c r="E8" s="1" t="str">
        <f t="array" ref="E8">IFERROR(INDEX('標準答案'!$B$2:$B$41,MATCH(A8,'標準答案'!$A$2:$A$41,0)),"")</f>
        <v>Pass</v>
      </c>
      <c r="F8" s="1">
        <f t="shared" si="2"/>
        <v>1</v>
      </c>
      <c r="G8" s="1">
        <f t="shared" si="3"/>
        <v>1</v>
      </c>
    </row>
    <row r="9">
      <c r="A9" s="1" t="s">
        <v>20</v>
      </c>
      <c r="B9" s="1" t="str">
        <f t="array" ref="B9">IFERROR(IF(INDEX('第1輪'!$F$2:$F$41,MATCH(A9,'第1輪'!$B$2:$B$41,0))="","",INDEX('第1輪'!$F$2:$F$41,MATCH(A9,'第1輪'!$B$2:$B$41,0))),"")</f>
        <v>Fail</v>
      </c>
      <c r="C9" s="1" t="str">
        <f t="array" ref="C9">IFERROR(IF(INDEX('第2輪'!$F$2:$F$41,MATCH(A9,'第2輪'!$B$2:$B$41,0))="","",INDEX('第2輪'!$F$2:$F$41,MATCH(A9,'第2輪'!$B$2:$B$41,0))),"")</f>
        <v>Fail</v>
      </c>
      <c r="D9" s="1">
        <f t="shared" si="1"/>
        <v>1</v>
      </c>
      <c r="E9" s="1" t="str">
        <f t="array" ref="E9">IFERROR(INDEX('標準答案'!$B$2:$B$41,MATCH(A9,'標準答案'!$A$2:$A$41,0)),"")</f>
        <v>Warning</v>
      </c>
      <c r="F9" s="1">
        <f t="shared" si="2"/>
        <v>0</v>
      </c>
      <c r="G9" s="1">
        <f t="shared" si="3"/>
        <v>0</v>
      </c>
    </row>
    <row r="10">
      <c r="A10" s="1" t="s">
        <v>22</v>
      </c>
      <c r="B10" s="1" t="str">
        <f t="array" ref="B10">IFERROR(IF(INDEX('第1輪'!$F$2:$F$41,MATCH(A10,'第1輪'!$B$2:$B$41,0))="","",INDEX('第1輪'!$F$2:$F$41,MATCH(A10,'第1輪'!$B$2:$B$41,0))),"")</f>
        <v>Pass</v>
      </c>
      <c r="C10" s="1" t="str">
        <f t="array" ref="C10">IFERROR(IF(INDEX('第2輪'!$F$2:$F$41,MATCH(A10,'第2輪'!$B$2:$B$41,0))="","",INDEX('第2輪'!$F$2:$F$41,MATCH(A10,'第2輪'!$B$2:$B$41,0))),"")</f>
        <v>Pass</v>
      </c>
      <c r="D10" s="1">
        <f t="shared" si="1"/>
        <v>1</v>
      </c>
      <c r="E10" s="1" t="str">
        <f t="array" ref="E10">IFERROR(INDEX('標準答案'!$B$2:$B$41,MATCH(A10,'標準答案'!$A$2:$A$41,0)),"")</f>
        <v>Pass</v>
      </c>
      <c r="F10" s="1">
        <f t="shared" si="2"/>
        <v>1</v>
      </c>
      <c r="G10" s="1">
        <f t="shared" si="3"/>
        <v>1</v>
      </c>
    </row>
    <row r="11">
      <c r="A11" s="1" t="s">
        <v>23</v>
      </c>
      <c r="B11" s="1" t="str">
        <f t="array" ref="B11">IFERROR(IF(INDEX('第1輪'!$F$2:$F$41,MATCH(A11,'第1輪'!$B$2:$B$41,0))="","",INDEX('第1輪'!$F$2:$F$41,MATCH(A11,'第1輪'!$B$2:$B$41,0))),"")</f>
        <v>Pass</v>
      </c>
      <c r="C11" s="1" t="str">
        <f t="array" ref="C11">IFERROR(IF(INDEX('第2輪'!$F$2:$F$41,MATCH(A11,'第2輪'!$B$2:$B$41,0))="","",INDEX('第2輪'!$F$2:$F$41,MATCH(A11,'第2輪'!$B$2:$B$41,0))),"")</f>
        <v>Pass</v>
      </c>
      <c r="D11" s="1">
        <f t="shared" si="1"/>
        <v>1</v>
      </c>
      <c r="E11" s="1" t="str">
        <f t="array" ref="E11">IFERROR(INDEX('標準答案'!$B$2:$B$41,MATCH(A11,'標準答案'!$A$2:$A$41,0)),"")</f>
        <v>Pass</v>
      </c>
      <c r="F11" s="1">
        <f t="shared" si="2"/>
        <v>1</v>
      </c>
      <c r="G11" s="1">
        <f t="shared" si="3"/>
        <v>1</v>
      </c>
    </row>
    <row r="12">
      <c r="A12" s="1" t="s">
        <v>25</v>
      </c>
      <c r="B12" s="1" t="str">
        <f t="array" ref="B12">IFERROR(IF(INDEX('第1輪'!$F$2:$F$41,MATCH(A12,'第1輪'!$B$2:$B$41,0))="","",INDEX('第1輪'!$F$2:$F$41,MATCH(A12,'第1輪'!$B$2:$B$41,0))),"")</f>
        <v>Pass</v>
      </c>
      <c r="C12" s="1" t="str">
        <f t="array" ref="C12">IFERROR(IF(INDEX('第2輪'!$F$2:$F$41,MATCH(A12,'第2輪'!$B$2:$B$41,0))="","",INDEX('第2輪'!$F$2:$F$41,MATCH(A12,'第2輪'!$B$2:$B$41,0))),"")</f>
        <v>Pass</v>
      </c>
      <c r="D12" s="1">
        <f t="shared" si="1"/>
        <v>1</v>
      </c>
      <c r="E12" s="1" t="str">
        <f t="array" ref="E12">IFERROR(INDEX('標準答案'!$B$2:$B$41,MATCH(A12,'標準答案'!$A$2:$A$41,0)),"")</f>
        <v>Pass</v>
      </c>
      <c r="F12" s="1">
        <f t="shared" si="2"/>
        <v>1</v>
      </c>
      <c r="G12" s="1">
        <f t="shared" si="3"/>
        <v>1</v>
      </c>
    </row>
    <row r="13">
      <c r="A13" s="1" t="s">
        <v>26</v>
      </c>
      <c r="B13" s="1" t="str">
        <f t="array" ref="B13">IFERROR(IF(INDEX('第1輪'!$F$2:$F$41,MATCH(A13,'第1輪'!$B$2:$B$41,0))="","",INDEX('第1輪'!$F$2:$F$41,MATCH(A13,'第1輪'!$B$2:$B$41,0))),"")</f>
        <v>Pass</v>
      </c>
      <c r="C13" s="1" t="str">
        <f t="array" ref="C13">IFERROR(IF(INDEX('第2輪'!$F$2:$F$41,MATCH(A13,'第2輪'!$B$2:$B$41,0))="","",INDEX('第2輪'!$F$2:$F$41,MATCH(A13,'第2輪'!$B$2:$B$41,0))),"")</f>
        <v>Pass</v>
      </c>
      <c r="D13" s="1">
        <f t="shared" si="1"/>
        <v>1</v>
      </c>
      <c r="E13" s="1" t="str">
        <f t="array" ref="E13">IFERROR(INDEX('標準答案'!$B$2:$B$41,MATCH(A13,'標準答案'!$A$2:$A$41,0)),"")</f>
        <v>Pass</v>
      </c>
      <c r="F13" s="1">
        <f t="shared" si="2"/>
        <v>1</v>
      </c>
      <c r="G13" s="1">
        <f t="shared" si="3"/>
        <v>1</v>
      </c>
    </row>
    <row r="14">
      <c r="A14" s="1" t="s">
        <v>28</v>
      </c>
      <c r="B14" s="1" t="str">
        <f t="array" ref="B14">IFERROR(IF(INDEX('第1輪'!$F$2:$F$41,MATCH(A14,'第1輪'!$B$2:$B$41,0))="","",INDEX('第1輪'!$F$2:$F$41,MATCH(A14,'第1輪'!$B$2:$B$41,0))),"")</f>
        <v>Pass</v>
      </c>
      <c r="C14" s="1" t="str">
        <f t="array" ref="C14">IFERROR(IF(INDEX('第2輪'!$F$2:$F$41,MATCH(A14,'第2輪'!$B$2:$B$41,0))="","",INDEX('第2輪'!$F$2:$F$41,MATCH(A14,'第2輪'!$B$2:$B$41,0))),"")</f>
        <v>Warning</v>
      </c>
      <c r="D14" s="1">
        <f t="shared" si="1"/>
        <v>0</v>
      </c>
      <c r="E14" s="1" t="str">
        <f t="array" ref="E14">IFERROR(INDEX('標準答案'!$B$2:$B$41,MATCH(A14,'標準答案'!$A$2:$A$41,0)),"")</f>
        <v>Warning</v>
      </c>
      <c r="F14" s="1">
        <f t="shared" si="2"/>
        <v>0</v>
      </c>
      <c r="G14" s="1">
        <f t="shared" si="3"/>
        <v>1</v>
      </c>
    </row>
    <row r="15">
      <c r="A15" s="1" t="s">
        <v>32</v>
      </c>
      <c r="B15" s="1" t="str">
        <f t="array" ref="B15">IFERROR(IF(INDEX('第1輪'!$F$2:$F$41,MATCH(A15,'第1輪'!$B$2:$B$41,0))="","",INDEX('第1輪'!$F$2:$F$41,MATCH(A15,'第1輪'!$B$2:$B$41,0))),"")</f>
        <v>Warning</v>
      </c>
      <c r="C15" s="1" t="str">
        <f t="array" ref="C15">IFERROR(IF(INDEX('第2輪'!$F$2:$F$41,MATCH(A15,'第2輪'!$B$2:$B$41,0))="","",INDEX('第2輪'!$F$2:$F$41,MATCH(A15,'第2輪'!$B$2:$B$41,0))),"")</f>
        <v>Warning</v>
      </c>
      <c r="D15" s="1">
        <f t="shared" si="1"/>
        <v>1</v>
      </c>
      <c r="E15" s="1" t="str">
        <f t="array" ref="E15">IFERROR(INDEX('標準答案'!$B$2:$B$41,MATCH(A15,'標準答案'!$A$2:$A$41,0)),"")</f>
        <v>Pass</v>
      </c>
      <c r="F15" s="1">
        <f t="shared" si="2"/>
        <v>0</v>
      </c>
      <c r="G15" s="1">
        <f t="shared" si="3"/>
        <v>0</v>
      </c>
    </row>
    <row r="16">
      <c r="A16" s="1" t="s">
        <v>36</v>
      </c>
      <c r="B16" s="1" t="str">
        <f t="array" ref="B16">IFERROR(IF(INDEX('第1輪'!$F$2:$F$41,MATCH(A16,'第1輪'!$B$2:$B$41,0))="","",INDEX('第1輪'!$F$2:$F$41,MATCH(A16,'第1輪'!$B$2:$B$41,0))),"")</f>
        <v>Pass</v>
      </c>
      <c r="C16" s="1" t="str">
        <f t="array" ref="C16">IFERROR(IF(INDEX('第2輪'!$F$2:$F$41,MATCH(A16,'第2輪'!$B$2:$B$41,0))="","",INDEX('第2輪'!$F$2:$F$41,MATCH(A16,'第2輪'!$B$2:$B$41,0))),"")</f>
        <v>Pass</v>
      </c>
      <c r="D16" s="1">
        <f t="shared" si="1"/>
        <v>1</v>
      </c>
      <c r="E16" s="1" t="str">
        <f t="array" ref="E16">IFERROR(INDEX('標準答案'!$B$2:$B$41,MATCH(A16,'標準答案'!$A$2:$A$41,0)),"")</f>
        <v>Pass</v>
      </c>
      <c r="F16" s="1">
        <f t="shared" si="2"/>
        <v>1</v>
      </c>
      <c r="G16" s="1">
        <f t="shared" si="3"/>
        <v>1</v>
      </c>
    </row>
    <row r="17">
      <c r="A17" s="1" t="s">
        <v>37</v>
      </c>
      <c r="B17" s="1" t="str">
        <f t="array" ref="B17">IFERROR(IF(INDEX('第1輪'!$F$2:$F$41,MATCH(A17,'第1輪'!$B$2:$B$41,0))="","",INDEX('第1輪'!$F$2:$F$41,MATCH(A17,'第1輪'!$B$2:$B$41,0))),"")</f>
        <v>Pass</v>
      </c>
      <c r="C17" s="1" t="str">
        <f t="array" ref="C17">IFERROR(IF(INDEX('第2輪'!$F$2:$F$41,MATCH(A17,'第2輪'!$B$2:$B$41,0))="","",INDEX('第2輪'!$F$2:$F$41,MATCH(A17,'第2輪'!$B$2:$B$41,0))),"")</f>
        <v>Pass</v>
      </c>
      <c r="D17" s="1">
        <f t="shared" si="1"/>
        <v>1</v>
      </c>
      <c r="E17" s="1" t="str">
        <f t="array" ref="E17">IFERROR(INDEX('標準答案'!$B$2:$B$41,MATCH(A17,'標準答案'!$A$2:$A$41,0)),"")</f>
        <v>Fail</v>
      </c>
      <c r="F17" s="1">
        <f t="shared" si="2"/>
        <v>0</v>
      </c>
      <c r="G17" s="1">
        <f t="shared" si="3"/>
        <v>0</v>
      </c>
    </row>
    <row r="18">
      <c r="A18" s="1" t="s">
        <v>41</v>
      </c>
      <c r="B18" s="1" t="str">
        <f t="array" ref="B18">IFERROR(IF(INDEX('第1輪'!$F$2:$F$41,MATCH(A18,'第1輪'!$B$2:$B$41,0))="","",INDEX('第1輪'!$F$2:$F$41,MATCH(A18,'第1輪'!$B$2:$B$41,0))),"")</f>
        <v>Pass</v>
      </c>
      <c r="C18" s="1" t="str">
        <f t="array" ref="C18">IFERROR(IF(INDEX('第2輪'!$F$2:$F$41,MATCH(A18,'第2輪'!$B$2:$B$41,0))="","",INDEX('第2輪'!$F$2:$F$41,MATCH(A18,'第2輪'!$B$2:$B$41,0))),"")</f>
        <v>Pass</v>
      </c>
      <c r="D18" s="1">
        <f t="shared" si="1"/>
        <v>1</v>
      </c>
      <c r="E18" s="1" t="str">
        <f t="array" ref="E18">IFERROR(INDEX('標準答案'!$B$2:$B$41,MATCH(A18,'標準答案'!$A$2:$A$41,0)),"")</f>
        <v>Pass</v>
      </c>
      <c r="F18" s="1">
        <f t="shared" si="2"/>
        <v>1</v>
      </c>
      <c r="G18" s="1">
        <f t="shared" si="3"/>
        <v>1</v>
      </c>
    </row>
    <row r="19">
      <c r="A19" s="1" t="s">
        <v>43</v>
      </c>
      <c r="B19" s="1" t="str">
        <f t="array" ref="B19">IFERROR(IF(INDEX('第1輪'!$F$2:$F$41,MATCH(A19,'第1輪'!$B$2:$B$41,0))="","",INDEX('第1輪'!$F$2:$F$41,MATCH(A19,'第1輪'!$B$2:$B$41,0))),"")</f>
        <v/>
      </c>
      <c r="C19" s="1" t="str">
        <f t="array" ref="C19">IFERROR(IF(INDEX('第2輪'!$F$2:$F$41,MATCH(A19,'第2輪'!$B$2:$B$41,0))="","",INDEX('第2輪'!$F$2:$F$41,MATCH(A19,'第2輪'!$B$2:$B$41,0))),"")</f>
        <v>Fail</v>
      </c>
      <c r="D19" s="1" t="str">
        <f t="shared" si="1"/>
        <v/>
      </c>
      <c r="E19" s="1" t="str">
        <f t="array" ref="E19">IFERROR(INDEX('標準答案'!$B$2:$B$41,MATCH(A19,'標準答案'!$A$2:$A$41,0)),"")</f>
        <v>Fail</v>
      </c>
      <c r="F19" s="1" t="str">
        <f t="shared" si="2"/>
        <v/>
      </c>
      <c r="G19" s="1">
        <f t="shared" si="3"/>
        <v>1</v>
      </c>
    </row>
    <row r="20">
      <c r="A20" s="1" t="s">
        <v>38</v>
      </c>
      <c r="B20" s="1" t="str">
        <f t="array" ref="B20">IFERROR(IF(INDEX('第1輪'!$F$2:$F$41,MATCH(A20,'第1輪'!$B$2:$B$41,0))="","",INDEX('第1輪'!$F$2:$F$41,MATCH(A20,'第1輪'!$B$2:$B$41,0))),"")</f>
        <v>Warning</v>
      </c>
      <c r="C20" s="1" t="str">
        <f t="array" ref="C20">IFERROR(IF(INDEX('第2輪'!$F$2:$F$41,MATCH(A20,'第2輪'!$B$2:$B$41,0))="","",INDEX('第2輪'!$F$2:$F$41,MATCH(A20,'第2輪'!$B$2:$B$41,0))),"")</f>
        <v>Warning</v>
      </c>
      <c r="D20" s="1">
        <f t="shared" si="1"/>
        <v>1</v>
      </c>
      <c r="E20" s="1" t="str">
        <f t="array" ref="E20">IFERROR(INDEX('標準答案'!$B$2:$B$41,MATCH(A20,'標準答案'!$A$2:$A$41,0)),"")</f>
        <v>Warning</v>
      </c>
      <c r="F20" s="1">
        <f t="shared" si="2"/>
        <v>1</v>
      </c>
      <c r="G20" s="1">
        <f t="shared" si="3"/>
        <v>1</v>
      </c>
    </row>
    <row r="21" ht="15.75" customHeight="1">
      <c r="A21" s="1" t="s">
        <v>50</v>
      </c>
      <c r="B21" s="1" t="str">
        <f t="array" ref="B21">IFERROR(IF(INDEX('第1輪'!$F$2:$F$41,MATCH(A21,'第1輪'!$B$2:$B$41,0))="","",INDEX('第1輪'!$F$2:$F$41,MATCH(A21,'第1輪'!$B$2:$B$41,0))),"")</f>
        <v>Warning</v>
      </c>
      <c r="C21" s="1" t="str">
        <f t="array" ref="C21">IFERROR(IF(INDEX('第2輪'!$F$2:$F$41,MATCH(A21,'第2輪'!$B$2:$B$41,0))="","",INDEX('第2輪'!$F$2:$F$41,MATCH(A21,'第2輪'!$B$2:$B$41,0))),"")</f>
        <v>Warning</v>
      </c>
      <c r="D21" s="1">
        <f t="shared" si="1"/>
        <v>1</v>
      </c>
      <c r="E21" s="1" t="str">
        <f t="array" ref="E21">IFERROR(INDEX('標準答案'!$B$2:$B$41,MATCH(A21,'標準答案'!$A$2:$A$41,0)),"")</f>
        <v>Fail</v>
      </c>
      <c r="F21" s="1">
        <f t="shared" si="2"/>
        <v>0</v>
      </c>
      <c r="G21" s="1">
        <f t="shared" si="3"/>
        <v>0</v>
      </c>
    </row>
    <row r="22" ht="15.75" customHeight="1">
      <c r="A22" s="1" t="s">
        <v>52</v>
      </c>
      <c r="B22" s="1" t="str">
        <f t="array" ref="B22">IFERROR(IF(INDEX('第1輪'!$F$2:$F$41,MATCH(A22,'第1輪'!$B$2:$B$41,0))="","",INDEX('第1輪'!$F$2:$F$41,MATCH(A22,'第1輪'!$B$2:$B$41,0))),"")</f>
        <v>Pass</v>
      </c>
      <c r="C22" s="1" t="str">
        <f t="array" ref="C22">IFERROR(IF(INDEX('第2輪'!$F$2:$F$41,MATCH(A22,'第2輪'!$B$2:$B$41,0))="","",INDEX('第2輪'!$F$2:$F$41,MATCH(A22,'第2輪'!$B$2:$B$41,0))),"")</f>
        <v>Pass</v>
      </c>
      <c r="D22" s="1">
        <f t="shared" si="1"/>
        <v>1</v>
      </c>
      <c r="E22" s="1" t="str">
        <f t="array" ref="E22">IFERROR(INDEX('標準答案'!$B$2:$B$41,MATCH(A22,'標準答案'!$A$2:$A$41,0)),"")</f>
        <v>Pass</v>
      </c>
      <c r="F22" s="1">
        <f t="shared" si="2"/>
        <v>1</v>
      </c>
      <c r="G22" s="1">
        <f t="shared" si="3"/>
        <v>1</v>
      </c>
    </row>
    <row r="23" ht="15.75" customHeight="1">
      <c r="A23" s="1" t="s">
        <v>53</v>
      </c>
      <c r="B23" s="1" t="str">
        <f t="array" ref="B23">IFERROR(IF(INDEX('第1輪'!$F$2:$F$41,MATCH(A23,'第1輪'!$B$2:$B$41,0))="","",INDEX('第1輪'!$F$2:$F$41,MATCH(A23,'第1輪'!$B$2:$B$41,0))),"")</f>
        <v>Pass</v>
      </c>
      <c r="C23" s="1" t="str">
        <f t="array" ref="C23">IFERROR(IF(INDEX('第2輪'!$F$2:$F$41,MATCH(A23,'第2輪'!$B$2:$B$41,0))="","",INDEX('第2輪'!$F$2:$F$41,MATCH(A23,'第2輪'!$B$2:$B$41,0))),"")</f>
        <v>Pass</v>
      </c>
      <c r="D23" s="1">
        <f t="shared" si="1"/>
        <v>1</v>
      </c>
      <c r="E23" s="1" t="str">
        <f t="array" ref="E23">IFERROR(INDEX('標準答案'!$B$2:$B$41,MATCH(A23,'標準答案'!$A$2:$A$41,0)),"")</f>
        <v>Pass</v>
      </c>
      <c r="F23" s="1">
        <f t="shared" si="2"/>
        <v>1</v>
      </c>
      <c r="G23" s="1">
        <f t="shared" si="3"/>
        <v>1</v>
      </c>
    </row>
    <row r="24" ht="15.75" customHeight="1">
      <c r="A24" s="1" t="s">
        <v>55</v>
      </c>
      <c r="B24" s="1" t="str">
        <f t="array" ref="B24">IFERROR(IF(INDEX('第1輪'!$F$2:$F$41,MATCH(A24,'第1輪'!$B$2:$B$41,0))="","",INDEX('第1輪'!$F$2:$F$41,MATCH(A24,'第1輪'!$B$2:$B$41,0))),"")</f>
        <v>Fail</v>
      </c>
      <c r="C24" s="1" t="str">
        <f t="array" ref="C24">IFERROR(IF(INDEX('第2輪'!$F$2:$F$41,MATCH(A24,'第2輪'!$B$2:$B$41,0))="","",INDEX('第2輪'!$F$2:$F$41,MATCH(A24,'第2輪'!$B$2:$B$41,0))),"")</f>
        <v>Fail</v>
      </c>
      <c r="D24" s="1">
        <f t="shared" si="1"/>
        <v>1</v>
      </c>
      <c r="E24" s="1" t="str">
        <f t="array" ref="E24">IFERROR(INDEX('標準答案'!$B$2:$B$41,MATCH(A24,'標準答案'!$A$2:$A$41,0)),"")</f>
        <v>Fail</v>
      </c>
      <c r="F24" s="1">
        <f t="shared" si="2"/>
        <v>1</v>
      </c>
      <c r="G24" s="1">
        <f t="shared" si="3"/>
        <v>1</v>
      </c>
    </row>
    <row r="25" ht="15.75" customHeight="1">
      <c r="A25" s="1" t="s">
        <v>58</v>
      </c>
      <c r="B25" s="1" t="str">
        <f t="array" ref="B25">IFERROR(IF(INDEX('第1輪'!$F$2:$F$41,MATCH(A25,'第1輪'!$B$2:$B$41,0))="","",INDEX('第1輪'!$F$2:$F$41,MATCH(A25,'第1輪'!$B$2:$B$41,0))),"")</f>
        <v>Fail</v>
      </c>
      <c r="C25" s="1" t="str">
        <f t="array" ref="C25">IFERROR(IF(INDEX('第2輪'!$F$2:$F$41,MATCH(A25,'第2輪'!$B$2:$B$41,0))="","",INDEX('第2輪'!$F$2:$F$41,MATCH(A25,'第2輪'!$B$2:$B$41,0))),"")</f>
        <v>Pass</v>
      </c>
      <c r="D25" s="1">
        <f t="shared" si="1"/>
        <v>0</v>
      </c>
      <c r="E25" s="1" t="str">
        <f t="array" ref="E25">IFERROR(INDEX('標準答案'!$B$2:$B$41,MATCH(A25,'標準答案'!$A$2:$A$41,0)),"")</f>
        <v>Pass</v>
      </c>
      <c r="F25" s="1">
        <f t="shared" si="2"/>
        <v>0</v>
      </c>
      <c r="G25" s="1">
        <f t="shared" si="3"/>
        <v>1</v>
      </c>
    </row>
    <row r="26" ht="15.75" customHeight="1">
      <c r="A26" s="1" t="s">
        <v>60</v>
      </c>
      <c r="B26" s="1" t="str">
        <f t="array" ref="B26">IFERROR(IF(INDEX('第1輪'!$F$2:$F$41,MATCH(A26,'第1輪'!$B$2:$B$41,0))="","",INDEX('第1輪'!$F$2:$F$41,MATCH(A26,'第1輪'!$B$2:$B$41,0))),"")</f>
        <v>Warning</v>
      </c>
      <c r="C26" s="1" t="str">
        <f t="array" ref="C26">IFERROR(IF(INDEX('第2輪'!$F$2:$F$41,MATCH(A26,'第2輪'!$B$2:$B$41,0))="","",INDEX('第2輪'!$F$2:$F$41,MATCH(A26,'第2輪'!$B$2:$B$41,0))),"")</f>
        <v>Warning</v>
      </c>
      <c r="D26" s="1">
        <f t="shared" si="1"/>
        <v>1</v>
      </c>
      <c r="E26" s="1" t="str">
        <f t="array" ref="E26">IFERROR(INDEX('標準答案'!$B$2:$B$41,MATCH(A26,'標準答案'!$A$2:$A$41,0)),"")</f>
        <v>Fail</v>
      </c>
      <c r="F26" s="1">
        <f t="shared" si="2"/>
        <v>0</v>
      </c>
      <c r="G26" s="1">
        <f t="shared" si="3"/>
        <v>0</v>
      </c>
    </row>
    <row r="27" ht="15.75" customHeight="1">
      <c r="A27" s="1" t="s">
        <v>62</v>
      </c>
      <c r="B27" s="1" t="str">
        <f t="array" ref="B27">IFERROR(IF(INDEX('第1輪'!$F$2:$F$41,MATCH(A27,'第1輪'!$B$2:$B$41,0))="","",INDEX('第1輪'!$F$2:$F$41,MATCH(A27,'第1輪'!$B$2:$B$41,0))),"")</f>
        <v>Pass</v>
      </c>
      <c r="C27" s="1" t="str">
        <f t="array" ref="C27">IFERROR(IF(INDEX('第2輪'!$F$2:$F$41,MATCH(A27,'第2輪'!$B$2:$B$41,0))="","",INDEX('第2輪'!$F$2:$F$41,MATCH(A27,'第2輪'!$B$2:$B$41,0))),"")</f>
        <v>Pass</v>
      </c>
      <c r="D27" s="1">
        <f t="shared" si="1"/>
        <v>1</v>
      </c>
      <c r="E27" s="1" t="str">
        <f t="array" ref="E27">IFERROR(INDEX('標準答案'!$B$2:$B$41,MATCH(A27,'標準答案'!$A$2:$A$41,0)),"")</f>
        <v>Pass</v>
      </c>
      <c r="F27" s="1">
        <f t="shared" si="2"/>
        <v>1</v>
      </c>
      <c r="G27" s="1">
        <f t="shared" si="3"/>
        <v>1</v>
      </c>
    </row>
    <row r="28" ht="15.75" customHeight="1">
      <c r="A28" s="1" t="s">
        <v>64</v>
      </c>
      <c r="B28" s="1" t="str">
        <f t="array" ref="B28">IFERROR(IF(INDEX('第1輪'!$F$2:$F$41,MATCH(A28,'第1輪'!$B$2:$B$41,0))="","",INDEX('第1輪'!$F$2:$F$41,MATCH(A28,'第1輪'!$B$2:$B$41,0))),"")</f>
        <v>Pass</v>
      </c>
      <c r="C28" s="1" t="str">
        <f t="array" ref="C28">IFERROR(IF(INDEX('第2輪'!$F$2:$F$41,MATCH(A28,'第2輪'!$B$2:$B$41,0))="","",INDEX('第2輪'!$F$2:$F$41,MATCH(A28,'第2輪'!$B$2:$B$41,0))),"")</f>
        <v>Pass</v>
      </c>
      <c r="D28" s="1">
        <f t="shared" si="1"/>
        <v>1</v>
      </c>
      <c r="E28" s="1" t="str">
        <f t="array" ref="E28">IFERROR(INDEX('標準答案'!$B$2:$B$41,MATCH(A28,'標準答案'!$A$2:$A$41,0)),"")</f>
        <v>Pass</v>
      </c>
      <c r="F28" s="1">
        <f t="shared" si="2"/>
        <v>1</v>
      </c>
      <c r="G28" s="1">
        <f t="shared" si="3"/>
        <v>1</v>
      </c>
    </row>
    <row r="29" ht="15.75" customHeight="1">
      <c r="A29" s="1" t="s">
        <v>68</v>
      </c>
      <c r="B29" s="1" t="str">
        <f t="array" ref="B29">IFERROR(IF(INDEX('第1輪'!$F$2:$F$41,MATCH(A29,'第1輪'!$B$2:$B$41,0))="","",INDEX('第1輪'!$F$2:$F$41,MATCH(A29,'第1輪'!$B$2:$B$41,0))),"")</f>
        <v>Pass</v>
      </c>
      <c r="C29" s="1" t="str">
        <f t="array" ref="C29">IFERROR(IF(INDEX('第2輪'!$F$2:$F$41,MATCH(A29,'第2輪'!$B$2:$B$41,0))="","",INDEX('第2輪'!$F$2:$F$41,MATCH(A29,'第2輪'!$B$2:$B$41,0))),"")</f>
        <v>Pass</v>
      </c>
      <c r="D29" s="1">
        <f t="shared" si="1"/>
        <v>1</v>
      </c>
      <c r="E29" s="1" t="str">
        <f t="array" ref="E29">IFERROR(INDEX('標準答案'!$B$2:$B$41,MATCH(A29,'標準答案'!$A$2:$A$41,0)),"")</f>
        <v>Warning</v>
      </c>
      <c r="F29" s="1">
        <f t="shared" si="2"/>
        <v>0</v>
      </c>
      <c r="G29" s="1">
        <f t="shared" si="3"/>
        <v>0</v>
      </c>
    </row>
    <row r="30" ht="15.75" customHeight="1">
      <c r="A30" s="1" t="s">
        <v>71</v>
      </c>
      <c r="B30" s="1" t="str">
        <f t="array" ref="B30">IFERROR(IF(INDEX('第1輪'!$F$2:$F$41,MATCH(A30,'第1輪'!$B$2:$B$41,0))="","",INDEX('第1輪'!$F$2:$F$41,MATCH(A30,'第1輪'!$B$2:$B$41,0))),"")</f>
        <v>Pass</v>
      </c>
      <c r="C30" s="1" t="str">
        <f t="array" ref="C30">IFERROR(IF(INDEX('第2輪'!$F$2:$F$41,MATCH(A30,'第2輪'!$B$2:$B$41,0))="","",INDEX('第2輪'!$F$2:$F$41,MATCH(A30,'第2輪'!$B$2:$B$41,0))),"")</f>
        <v>Pass</v>
      </c>
      <c r="D30" s="1">
        <f t="shared" si="1"/>
        <v>1</v>
      </c>
      <c r="E30" s="1" t="str">
        <f t="array" ref="E30">IFERROR(INDEX('標準答案'!$B$2:$B$41,MATCH(A30,'標準答案'!$A$2:$A$41,0)),"")</f>
        <v>Pass</v>
      </c>
      <c r="F30" s="1">
        <f t="shared" si="2"/>
        <v>1</v>
      </c>
      <c r="G30" s="1">
        <f t="shared" si="3"/>
        <v>1</v>
      </c>
    </row>
    <row r="31" ht="15.75" customHeight="1">
      <c r="A31" s="1" t="s">
        <v>73</v>
      </c>
      <c r="B31" s="1" t="str">
        <f t="array" ref="B31">IFERROR(IF(INDEX('第1輪'!$F$2:$F$41,MATCH(A31,'第1輪'!$B$2:$B$41,0))="","",INDEX('第1輪'!$F$2:$F$41,MATCH(A31,'第1輪'!$B$2:$B$41,0))),"")</f>
        <v>Pass</v>
      </c>
      <c r="C31" s="1" t="str">
        <f t="array" ref="C31">IFERROR(IF(INDEX('第2輪'!$F$2:$F$41,MATCH(A31,'第2輪'!$B$2:$B$41,0))="","",INDEX('第2輪'!$F$2:$F$41,MATCH(A31,'第2輪'!$B$2:$B$41,0))),"")</f>
        <v>Pass</v>
      </c>
      <c r="D31" s="1">
        <f t="shared" si="1"/>
        <v>1</v>
      </c>
      <c r="E31" s="1" t="str">
        <f t="array" ref="E31">IFERROR(INDEX('標準答案'!$B$2:$B$41,MATCH(A31,'標準答案'!$A$2:$A$41,0)),"")</f>
        <v>Pass</v>
      </c>
      <c r="F31" s="1">
        <f t="shared" si="2"/>
        <v>1</v>
      </c>
      <c r="G31" s="1">
        <f t="shared" si="3"/>
        <v>1</v>
      </c>
    </row>
    <row r="32" ht="15.75" customHeight="1">
      <c r="A32" s="1" t="s">
        <v>75</v>
      </c>
      <c r="B32" s="1" t="str">
        <f t="array" ref="B32">IFERROR(IF(INDEX('第1輪'!$F$2:$F$41,MATCH(A32,'第1輪'!$B$2:$B$41,0))="","",INDEX('第1輪'!$F$2:$F$41,MATCH(A32,'第1輪'!$B$2:$B$41,0))),"")</f>
        <v>Warning</v>
      </c>
      <c r="C32" s="1" t="str">
        <f t="array" ref="C32">IFERROR(IF(INDEX('第2輪'!$F$2:$F$41,MATCH(A32,'第2輪'!$B$2:$B$41,0))="","",INDEX('第2輪'!$F$2:$F$41,MATCH(A32,'第2輪'!$B$2:$B$41,0))),"")</f>
        <v>Pass</v>
      </c>
      <c r="D32" s="1">
        <f t="shared" si="1"/>
        <v>0</v>
      </c>
      <c r="E32" s="1" t="str">
        <f t="array" ref="E32">IFERROR(INDEX('標準答案'!$B$2:$B$41,MATCH(A32,'標準答案'!$A$2:$A$41,0)),"")</f>
        <v>Pass</v>
      </c>
      <c r="F32" s="1">
        <f t="shared" si="2"/>
        <v>0</v>
      </c>
      <c r="G32" s="1">
        <f t="shared" si="3"/>
        <v>1</v>
      </c>
    </row>
    <row r="33" ht="15.75" customHeight="1">
      <c r="A33" s="1" t="s">
        <v>78</v>
      </c>
      <c r="B33" s="1" t="str">
        <f t="array" ref="B33">IFERROR(IF(INDEX('第1輪'!$F$2:$F$41,MATCH(A33,'第1輪'!$B$2:$B$41,0))="","",INDEX('第1輪'!$F$2:$F$41,MATCH(A33,'第1輪'!$B$2:$B$41,0))),"")</f>
        <v>Warning</v>
      </c>
      <c r="C33" s="1" t="str">
        <f t="array" ref="C33">IFERROR(IF(INDEX('第2輪'!$F$2:$F$41,MATCH(A33,'第2輪'!$B$2:$B$41,0))="","",INDEX('第2輪'!$F$2:$F$41,MATCH(A33,'第2輪'!$B$2:$B$41,0))),"")</f>
        <v>Warning</v>
      </c>
      <c r="D33" s="1">
        <f t="shared" si="1"/>
        <v>1</v>
      </c>
      <c r="E33" s="1" t="str">
        <f t="array" ref="E33">IFERROR(INDEX('標準答案'!$B$2:$B$41,MATCH(A33,'標準答案'!$A$2:$A$41,0)),"")</f>
        <v>Pass</v>
      </c>
      <c r="F33" s="1">
        <f t="shared" si="2"/>
        <v>0</v>
      </c>
      <c r="G33" s="1">
        <f t="shared" si="3"/>
        <v>0</v>
      </c>
    </row>
    <row r="34" ht="15.75" customHeight="1">
      <c r="A34" s="1" t="s">
        <v>80</v>
      </c>
      <c r="B34" s="1" t="str">
        <f t="array" ref="B34">IFERROR(IF(INDEX('第1輪'!$F$2:$F$41,MATCH(A34,'第1輪'!$B$2:$B$41,0))="","",INDEX('第1輪'!$F$2:$F$41,MATCH(A34,'第1輪'!$B$2:$B$41,0))),"")</f>
        <v>Warning</v>
      </c>
      <c r="C34" s="1" t="str">
        <f t="array" ref="C34">IFERROR(IF(INDEX('第2輪'!$F$2:$F$41,MATCH(A34,'第2輪'!$B$2:$B$41,0))="","",INDEX('第2輪'!$F$2:$F$41,MATCH(A34,'第2輪'!$B$2:$B$41,0))),"")</f>
        <v>Fail</v>
      </c>
      <c r="D34" s="1">
        <f t="shared" si="1"/>
        <v>0</v>
      </c>
      <c r="E34" s="1" t="str">
        <f t="array" ref="E34">IFERROR(INDEX('標準答案'!$B$2:$B$41,MATCH(A34,'標準答案'!$A$2:$A$41,0)),"")</f>
        <v>Warning</v>
      </c>
      <c r="F34" s="1">
        <f t="shared" si="2"/>
        <v>1</v>
      </c>
      <c r="G34" s="1">
        <f t="shared" si="3"/>
        <v>0</v>
      </c>
    </row>
    <row r="35" ht="15.75" customHeight="1">
      <c r="A35" s="1" t="s">
        <v>82</v>
      </c>
      <c r="B35" s="1" t="str">
        <f t="array" ref="B35">IFERROR(IF(INDEX('第1輪'!$F$2:$F$41,MATCH(A35,'第1輪'!$B$2:$B$41,0))="","",INDEX('第1輪'!$F$2:$F$41,MATCH(A35,'第1輪'!$B$2:$B$41,0))),"")</f>
        <v>Fail</v>
      </c>
      <c r="C35" s="1" t="str">
        <f t="array" ref="C35">IFERROR(IF(INDEX('第2輪'!$F$2:$F$41,MATCH(A35,'第2輪'!$B$2:$B$41,0))="","",INDEX('第2輪'!$F$2:$F$41,MATCH(A35,'第2輪'!$B$2:$B$41,0))),"")</f>
        <v>Fail</v>
      </c>
      <c r="D35" s="1">
        <f t="shared" si="1"/>
        <v>1</v>
      </c>
      <c r="E35" s="1" t="str">
        <f t="array" ref="E35">IFERROR(INDEX('標準答案'!$B$2:$B$41,MATCH(A35,'標準答案'!$A$2:$A$41,0)),"")</f>
        <v>Fail</v>
      </c>
      <c r="F35" s="1">
        <f t="shared" si="2"/>
        <v>1</v>
      </c>
      <c r="G35" s="1">
        <f t="shared" si="3"/>
        <v>1</v>
      </c>
    </row>
    <row r="36" ht="15.75" customHeight="1">
      <c r="A36" s="1" t="s">
        <v>84</v>
      </c>
      <c r="B36" s="1" t="str">
        <f t="array" ref="B36">IFERROR(IF(INDEX('第1輪'!$F$2:$F$41,MATCH(A36,'第1輪'!$B$2:$B$41,0))="","",INDEX('第1輪'!$F$2:$F$41,MATCH(A36,'第1輪'!$B$2:$B$41,0))),"")</f>
        <v>Warning</v>
      </c>
      <c r="C36" s="1" t="str">
        <f t="array" ref="C36">IFERROR(IF(INDEX('第2輪'!$F$2:$F$41,MATCH(A36,'第2輪'!$B$2:$B$41,0))="","",INDEX('第2輪'!$F$2:$F$41,MATCH(A36,'第2輪'!$B$2:$B$41,0))),"")</f>
        <v>Warning</v>
      </c>
      <c r="D36" s="1">
        <f t="shared" si="1"/>
        <v>1</v>
      </c>
      <c r="E36" s="1" t="str">
        <f t="array" ref="E36">IFERROR(INDEX('標準答案'!$B$2:$B$41,MATCH(A36,'標準答案'!$A$2:$A$41,0)),"")</f>
        <v>Warning</v>
      </c>
      <c r="F36" s="1">
        <f t="shared" si="2"/>
        <v>1</v>
      </c>
      <c r="G36" s="1">
        <f t="shared" si="3"/>
        <v>1</v>
      </c>
    </row>
    <row r="37" ht="15.75" customHeight="1">
      <c r="A37" s="1" t="s">
        <v>86</v>
      </c>
      <c r="B37" s="1" t="str">
        <f t="array" ref="B37">IFERROR(IF(INDEX('第1輪'!$F$2:$F$41,MATCH(A37,'第1輪'!$B$2:$B$41,0))="","",INDEX('第1輪'!$F$2:$F$41,MATCH(A37,'第1輪'!$B$2:$B$41,0))),"")</f>
        <v>Pass</v>
      </c>
      <c r="C37" s="1" t="str">
        <f t="array" ref="C37">IFERROR(IF(INDEX('第2輪'!$F$2:$F$41,MATCH(A37,'第2輪'!$B$2:$B$41,0))="","",INDEX('第2輪'!$F$2:$F$41,MATCH(A37,'第2輪'!$B$2:$B$41,0))),"")</f>
        <v>Pass</v>
      </c>
      <c r="D37" s="1">
        <f t="shared" si="1"/>
        <v>1</v>
      </c>
      <c r="E37" s="1" t="str">
        <f t="array" ref="E37">IFERROR(INDEX('標準答案'!$B$2:$B$41,MATCH(A37,'標準答案'!$A$2:$A$41,0)),"")</f>
        <v>Pass</v>
      </c>
      <c r="F37" s="1">
        <f t="shared" si="2"/>
        <v>1</v>
      </c>
      <c r="G37" s="1">
        <f t="shared" si="3"/>
        <v>1</v>
      </c>
    </row>
    <row r="38" ht="15.75" customHeight="1">
      <c r="A38" s="1" t="s">
        <v>54</v>
      </c>
      <c r="B38" s="1" t="str">
        <f t="array" ref="B38">IFERROR(IF(INDEX('第1輪'!$F$2:$F$41,MATCH(A38,'第1輪'!$B$2:$B$41,0))="","",INDEX('第1輪'!$F$2:$F$41,MATCH(A38,'第1輪'!$B$2:$B$41,0))),"")</f>
        <v>Warning</v>
      </c>
      <c r="C38" s="1" t="str">
        <f t="array" ref="C38">IFERROR(IF(INDEX('第2輪'!$F$2:$F$41,MATCH(A38,'第2輪'!$B$2:$B$41,0))="","",INDEX('第2輪'!$F$2:$F$41,MATCH(A38,'第2輪'!$B$2:$B$41,0))),"")</f>
        <v>Warning</v>
      </c>
      <c r="D38" s="1">
        <f t="shared" si="1"/>
        <v>1</v>
      </c>
      <c r="E38" s="1" t="str">
        <f t="array" ref="E38">IFERROR(INDEX('標準答案'!$B$2:$B$41,MATCH(A38,'標準答案'!$A$2:$A$41,0)),"")</f>
        <v>Warning</v>
      </c>
      <c r="F38" s="1">
        <f t="shared" si="2"/>
        <v>1</v>
      </c>
      <c r="G38" s="1">
        <f t="shared" si="3"/>
        <v>1</v>
      </c>
    </row>
    <row r="39" ht="15.75" customHeight="1">
      <c r="A39" s="1" t="s">
        <v>88</v>
      </c>
      <c r="B39" s="1" t="str">
        <f t="array" ref="B39">IFERROR(IF(INDEX('第1輪'!$F$2:$F$41,MATCH(A39,'第1輪'!$B$2:$B$41,0))="","",INDEX('第1輪'!$F$2:$F$41,MATCH(A39,'第1輪'!$B$2:$B$41,0))),"")</f>
        <v>Fail</v>
      </c>
      <c r="C39" s="1" t="str">
        <f t="array" ref="C39">IFERROR(IF(INDEX('第2輪'!$F$2:$F$41,MATCH(A39,'第2輪'!$B$2:$B$41,0))="","",INDEX('第2輪'!$F$2:$F$41,MATCH(A39,'第2輪'!$B$2:$B$41,0))),"")</f>
        <v>Fail</v>
      </c>
      <c r="D39" s="1">
        <f t="shared" si="1"/>
        <v>1</v>
      </c>
      <c r="E39" s="1" t="str">
        <f t="array" ref="E39">IFERROR(INDEX('標準答案'!$B$2:$B$41,MATCH(A39,'標準答案'!$A$2:$A$41,0)),"")</f>
        <v>Fail</v>
      </c>
      <c r="F39" s="1">
        <f t="shared" si="2"/>
        <v>1</v>
      </c>
      <c r="G39" s="1">
        <f t="shared" si="3"/>
        <v>1</v>
      </c>
    </row>
    <row r="40" ht="15.75" customHeight="1">
      <c r="A40" s="1" t="s">
        <v>90</v>
      </c>
      <c r="B40" s="1" t="str">
        <f t="array" ref="B40">IFERROR(IF(INDEX('第1輪'!$F$2:$F$41,MATCH(A40,'第1輪'!$B$2:$B$41,0))="","",INDEX('第1輪'!$F$2:$F$41,MATCH(A40,'第1輪'!$B$2:$B$41,0))),"")</f>
        <v>Pass</v>
      </c>
      <c r="C40" s="1" t="str">
        <f t="array" ref="C40">IFERROR(IF(INDEX('第2輪'!$F$2:$F$41,MATCH(A40,'第2輪'!$B$2:$B$41,0))="","",INDEX('第2輪'!$F$2:$F$41,MATCH(A40,'第2輪'!$B$2:$B$41,0))),"")</f>
        <v>Pass</v>
      </c>
      <c r="D40" s="1">
        <f t="shared" si="1"/>
        <v>1</v>
      </c>
      <c r="E40" s="1" t="str">
        <f t="array" ref="E40">IFERROR(INDEX('標準答案'!$B$2:$B$41,MATCH(A40,'標準答案'!$A$2:$A$41,0)),"")</f>
        <v>Fail</v>
      </c>
      <c r="F40" s="1">
        <f t="shared" si="2"/>
        <v>0</v>
      </c>
      <c r="G40" s="1">
        <f t="shared" si="3"/>
        <v>0</v>
      </c>
    </row>
    <row r="41" ht="15.75" customHeight="1">
      <c r="A41" s="1" t="s">
        <v>93</v>
      </c>
      <c r="B41" s="1" t="str">
        <f t="array" ref="B41">IFERROR(IF(INDEX('第1輪'!$F$2:$F$41,MATCH(A41,'第1輪'!$B$2:$B$41,0))="","",INDEX('第1輪'!$F$2:$F$41,MATCH(A41,'第1輪'!$B$2:$B$41,0))),"")</f>
        <v>Pass</v>
      </c>
      <c r="C41" s="1" t="str">
        <f t="array" ref="C41">IFERROR(IF(INDEX('第2輪'!$F$2:$F$41,MATCH(A41,'第2輪'!$B$2:$B$41,0))="","",INDEX('第2輪'!$F$2:$F$41,MATCH(A41,'第2輪'!$B$2:$B$41,0))),"")</f>
        <v>Warning</v>
      </c>
      <c r="D41" s="1">
        <f t="shared" si="1"/>
        <v>0</v>
      </c>
      <c r="E41" s="1" t="str">
        <f t="array" ref="E41">IFERROR(INDEX('標準答案'!$B$2:$B$41,MATCH(A41,'標準答案'!$A$2:$A$41,0)),"")</f>
        <v>Pass</v>
      </c>
      <c r="F41" s="1">
        <f t="shared" si="2"/>
        <v>1</v>
      </c>
      <c r="G41" s="1">
        <f t="shared" si="3"/>
        <v>0</v>
      </c>
    </row>
    <row r="42" ht="15.75" customHeight="1"/>
    <row r="43" ht="15.75" customHeight="1">
      <c r="A43" s="6" t="s">
        <v>106</v>
      </c>
      <c r="D43" s="7">
        <f>COUNT(D2:D41)</f>
        <v>39</v>
      </c>
    </row>
    <row r="44" ht="15.75" customHeight="1">
      <c r="A44" s="6" t="s">
        <v>107</v>
      </c>
      <c r="D44" s="8">
        <f>IF(COUNT(D2:D41)=0,"",SUM(D2:D41)/COUNT(D2:D41))</f>
        <v>0.8717948718</v>
      </c>
    </row>
    <row r="45" ht="15.75" customHeight="1">
      <c r="A45" s="6" t="s">
        <v>108</v>
      </c>
      <c r="D45" s="8">
        <f>IF(COUNT(F2:F41)=0,"",SUM(F2:F41)/COUNT(F2:F41))</f>
        <v>0.6923076923</v>
      </c>
    </row>
    <row r="46" ht="15.75" customHeight="1">
      <c r="A46" s="6" t="s">
        <v>109</v>
      </c>
      <c r="D46" s="8">
        <f>IF(COUNT(G2:G41)=0,"",SUM(G2:G41)/COUNT(G2:G41))</f>
        <v>0.725</v>
      </c>
    </row>
    <row r="47" ht="15.75" customHeight="1">
      <c r="A47" s="6" t="s">
        <v>110</v>
      </c>
      <c r="D47" s="8">
        <f>IF(COUNTIFS(E2:E41,"Fail",B2:B41,"?*")+COUNTIFS(E2:E41,"Fail",C2:C41,"?*")=0,"",(COUNTIFS(E2:E41,"Fail",B2:B41,"Pass")+COUNTIFS(E2:E41,"Fail",C2:C41,"Pass"))/(COUNTIFS(E2:E41,"Fail",B2:B41,"?*")+COUNTIFS(E2:E41,"Fail",C2:C41,"?*")))</f>
        <v>0.2352941176</v>
      </c>
    </row>
    <row r="48" ht="15.75" customHeight="1">
      <c r="A48" s="6" t="s">
        <v>111</v>
      </c>
      <c r="D48" s="8">
        <f>IF(COUNTIFS(E2:E41,"Pass",B2:B41,"?*")+COUNTIFS(E2:E41,"Pass",C2:C41,"?*")=0,"",(COUNTIFS(E2:E41,"Pass",B2:B41,"Fail")+COUNTIFS(E2:E41,"Pass",C2:C41,"Fail"))/(COUNTIFS(E2:E41,"Pass",B2:B41,"?*")+COUNTIFS(E2:E41,"Pass",C2:C41,"?*")))</f>
        <v>0.02272727273</v>
      </c>
    </row>
    <row r="49" ht="15.75" customHeight="1">
      <c r="A49" s="6" t="s">
        <v>112</v>
      </c>
      <c r="D49" s="8">
        <f>IF(COUNTIF(B2:B41,"?*")+COUNTIF(C2:C41,"?*")=0,"",(COUNTIF(B2:B41,"Warning")+COUNTIF(C2:C41,"Warning"))/(COUNTIF(B2:B41,"?*")+COUNTIF(C2:C41,"?*")))</f>
        <v>0.253164557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